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Alarmismo piloto" sheetId="1" state="visible" r:id="rId1"/>
    <sheet name="Recursos retoricos piloto" sheetId="2" state="visible" r:id="rId2"/>
    <sheet name="MDS" sheetId="3" state="visible" r:id="rId3"/>
    <sheet name="Evidencias" sheetId="4" state="visible" r:id="rId4"/>
    <sheet name="creacion diccionario evidencias" sheetId="5" state="visible" r:id="rId5"/>
  </sheets>
  <definedNames>
    <definedName name="_xlnm.Print_Area" localSheetId="1">'Recursos retoricos piloto'!$A$1:$E$53</definedName>
    <definedName name="_xlnm.Print_Area" localSheetId="2">MDS!$C$1:$G$51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<sst xmlns="http://schemas.openxmlformats.org/spreadsheetml/2006/main" count="827" uniqueCount="827">
  <si>
    <t>ID</t>
  </si>
  <si>
    <t>Titular</t>
  </si>
  <si>
    <t>ChatGPT-al</t>
  </si>
  <si>
    <t>Gemini-al</t>
  </si>
  <si>
    <t>Claude-al</t>
  </si>
  <si>
    <t>LLM_al</t>
  </si>
  <si>
    <t xml:space="preserve">suma LLM_al</t>
  </si>
  <si>
    <t xml:space="preserve">suma LLM_al_cg_gm</t>
  </si>
  <si>
    <t xml:space="preserve">suma LLM_al_cg_cl</t>
  </si>
  <si>
    <t xml:space="preserve">suma LLM_al_gm_cl</t>
  </si>
  <si>
    <t>LLM_al_rr</t>
  </si>
  <si>
    <t>LLM_al_rr_v2</t>
  </si>
  <si>
    <t>ChatGPT_Evid_al</t>
  </si>
  <si>
    <t>Gemini_Evid_al</t>
  </si>
  <si>
    <t>Claude_Evid_Al</t>
  </si>
  <si>
    <t xml:space="preserve">Valencia reabre parcialmente las aulas tras la DANA pero quedan "muchas dudas" sobre el transporte, el comedor o las ratios</t>
  </si>
  <si>
    <t>N/A</t>
  </si>
  <si>
    <t xml:space="preserve"> "más devastadoras"</t>
  </si>
  <si>
    <t xml:space="preserve">imágenes más devastadoras</t>
  </si>
  <si>
    <t xml:space="preserve">Última hora de la DANA, en directo: inundaciones en Málaga y alertas de la AEMET en Valencia</t>
  </si>
  <si>
    <t xml:space="preserve"> "catástrofe"</t>
  </si>
  <si>
    <t xml:space="preserve">Valencia y varios municipios de la Comunidad suspenden las clases este miércoles ante la nueva DANA</t>
  </si>
  <si>
    <t xml:space="preserve"> "Revive el pánico"</t>
  </si>
  <si>
    <t xml:space="preserve">Revive el pánico</t>
  </si>
  <si>
    <t xml:space="preserve">Muere un futbolista de 28 años a consecuencia de la DANA</t>
  </si>
  <si>
    <t xml:space="preserve"> "apocalipsis de lluvia"</t>
  </si>
  <si>
    <t xml:space="preserve">apocalipsis de lluvia</t>
  </si>
  <si>
    <t xml:space="preserve">Revive el pánico de la presa de Tous: la DANA que sumergió pueblos enteros en Valencia</t>
  </si>
  <si>
    <t>pánico</t>
  </si>
  <si>
    <t xml:space="preserve"> "Parecía el fin del mundo"</t>
  </si>
  <si>
    <t xml:space="preserve">Parecía el fin del mundo</t>
  </si>
  <si>
    <t xml:space="preserve">"¡Viene agua, daos la vuelta!": cómo salvaron la vida los conductores atrapados en la carretera</t>
  </si>
  <si>
    <t xml:space="preserve"> N/A</t>
  </si>
  <si>
    <t xml:space="preserve">Por qué lo que ocurre en el Polo Norte puede provocar tormentas destructivas en España</t>
  </si>
  <si>
    <t xml:space="preserve">tormentas destructivas</t>
  </si>
  <si>
    <t xml:space="preserve">En las riadas daña más el barro que el agua y los materiales arrastrados aumentan la destrucción, según CSIC</t>
  </si>
  <si>
    <t xml:space="preserve">Dana e inundaciones en Valencia: resumen del 3/11/2024</t>
  </si>
  <si>
    <t xml:space="preserve"> "sobrecogedor homenaje"</t>
  </si>
  <si>
    <t xml:space="preserve">Meteorólogos niegan falta de previsión de lluvias en Valencia: "Las DANAs son difíciles de pronosticar"</t>
  </si>
  <si>
    <t xml:space="preserve">Expertos ven difícil achacar responsabilidad penal a los políticos por su respuesta a la DANA</t>
  </si>
  <si>
    <t xml:space="preserve">La grada del Inter apoya a Valencia: "Cercanos al dolor del pueblo valenciano"</t>
  </si>
  <si>
    <t xml:space="preserve">Evitar lo inevitable: ¿Las lluvias de la dana de Valencia se podrían producir en otras zonas?</t>
  </si>
  <si>
    <t xml:space="preserve">lo inevitable</t>
  </si>
  <si>
    <t xml:space="preserve"> "Duro relato"</t>
  </si>
  <si>
    <t xml:space="preserve">llamó a su mujer para despedirse</t>
  </si>
  <si>
    <t xml:space="preserve">Última hora de la DANA hoy en Valencia y resto de España, en directo | La Delegada del Gobierno, sobre la cifra de muertos: "En la superficie no hay más cuerpos"</t>
  </si>
  <si>
    <t xml:space="preserve"> "nudo en la garganta"</t>
  </si>
  <si>
    <t xml:space="preserve">Cargas policiales en la manifestación por la DANA en Valencia: un grupo de violentos quema la puerta del Ayuntamiento de Valencia</t>
  </si>
  <si>
    <t xml:space="preserve"> "¡Así luce"</t>
  </si>
  <si>
    <t xml:space="preserve">La devastación de la dana deja decenas de muertos en Valencia e imágenes desoladoras</t>
  </si>
  <si>
    <t>devastación</t>
  </si>
  <si>
    <t xml:space="preserve">Devastación y muerte en Valencia</t>
  </si>
  <si>
    <t xml:space="preserve">Devastación y muerte</t>
  </si>
  <si>
    <t xml:space="preserve"> "Devastación y muerte"</t>
  </si>
  <si>
    <t xml:space="preserve">La DANA de Valencia registró precipitaciones máximas de 700 l/m2 en sólo 12 horas en Turís</t>
  </si>
  <si>
    <t xml:space="preserve">Las impactantes imágenes de la boca del metro en Valencia totalmente inundada: "Pasa con submarino"</t>
  </si>
  <si>
    <t xml:space="preserve">impactantes imágenes</t>
  </si>
  <si>
    <t xml:space="preserve"> "impactantes imágenes"</t>
  </si>
  <si>
    <t xml:space="preserve">Pasa con submarino</t>
  </si>
  <si>
    <t xml:space="preserve">La DANA inunda dos residencias de ancianos en Massanassa y Guadassuar, al sur de Valencia, sin causar "ningún fallecimiento"</t>
  </si>
  <si>
    <t xml:space="preserve"> "crítica situación"</t>
  </si>
  <si>
    <t xml:space="preserve">La devastación de la dana deja 70 muertos en Valencia de momento e imágenes desoladoras</t>
  </si>
  <si>
    <t xml:space="preserve">devastación;imágenes desoladoras</t>
  </si>
  <si>
    <t xml:space="preserve">La petición de una madre de Paiporta: “No hagan pasar a los niños por más traumas”</t>
  </si>
  <si>
    <t xml:space="preserve">¿Cuántos coches han quedado destruidos por la DANA? Esta es la cifra del Consorcio de Compensación de Seguros</t>
  </si>
  <si>
    <t xml:space="preserve">DANA en España, última hora en directo: El número de fallecidos se eleva a 202 personas</t>
  </si>
  <si>
    <t xml:space="preserve"> "cómo salvaron la vida"</t>
  </si>
  <si>
    <t xml:space="preserve">¡Viene agua, daos la vuelta!</t>
  </si>
  <si>
    <t xml:space="preserve">DANA, última hora en Valencia y Andalucía en directo | Mazón: "Si no consigo liderar la recuperación asumiré mi responsabilidad no optando a la reelección"</t>
  </si>
  <si>
    <t xml:space="preserve">Las muertes de la DANA cuando el agua se ha ido</t>
  </si>
  <si>
    <t xml:space="preserve">Duro relato de Morientes sobre la riada de la DANA: "Un familiar de mi mejor amigo llamó a su mujer para despedirse"</t>
  </si>
  <si>
    <t xml:space="preserve"> "epicentro de la tragedia"</t>
  </si>
  <si>
    <t xml:space="preserve">pueblo devastado e incomunicado</t>
  </si>
  <si>
    <t xml:space="preserve">Cómo fue el minuto a minuto de la gestión de la dana en Valencia del 29 de 10</t>
  </si>
  <si>
    <t xml:space="preserve"> "se teme que pueda haber numerosas víctimas"</t>
  </si>
  <si>
    <t xml:space="preserve">se teme que pueda haber numerosas víctimas</t>
  </si>
  <si>
    <t xml:space="preserve">La AEMET alerta de lluvias que pueden ser torrenciales con la llegada de la nueva DANA</t>
  </si>
  <si>
    <t xml:space="preserve">Los satélites de la NASA muestran la catástrofe de la DANA en Valencia, Requena y Letur desde el espacio</t>
  </si>
  <si>
    <t xml:space="preserve">El Ciutat de València llora por la DANA: sobrecogedor homenaje a las víctimas antes del Levante-Elche</t>
  </si>
  <si>
    <t xml:space="preserve"> "Apocalipsis"</t>
  </si>
  <si>
    <t xml:space="preserve">Apocalipsis en Valencia</t>
  </si>
  <si>
    <t xml:space="preserve">"Es apocalíptico": el vídeo de la Policía Nacional con las vistas aéreas de los efectos de la DANA en Valencia</t>
  </si>
  <si>
    <t xml:space="preserve">Es apocalíptico</t>
  </si>
  <si>
    <t xml:space="preserve"> "El milagro bajo el diluvio"</t>
  </si>
  <si>
    <t xml:space="preserve">milagro bajo el diluvio</t>
  </si>
  <si>
    <t xml:space="preserve">La DANA da sus últimos coletazos aunque las lluvias seguirán durante la semana</t>
  </si>
  <si>
    <t xml:space="preserve"> "últimos coletazos"</t>
  </si>
  <si>
    <t xml:space="preserve">Buscan a siete desaparecidos, seis en Letur (Albacete) y uno en L'Alcúdia (Valencia), por la DANA</t>
  </si>
  <si>
    <t xml:space="preserve">Guardia Civil, bomberos y la UME siguen peinando la Albufera y las playas en busca de víctimas</t>
  </si>
  <si>
    <t xml:space="preserve"> "cúmulo de errores"</t>
  </si>
  <si>
    <t xml:space="preserve">Mestalla, con un nudo en la garganta</t>
  </si>
  <si>
    <t xml:space="preserve">un nudo en la garganta</t>
  </si>
  <si>
    <t xml:space="preserve">En la zona cero de la DANA en Chiva: «No sabemos si podremos volver a nuestra casa»</t>
  </si>
  <si>
    <t xml:space="preserve">zona cero</t>
  </si>
  <si>
    <t xml:space="preserve">La A-7 en Valencia sigue afectada por la dana, que aún mantiene cortadas 52 carreteras</t>
  </si>
  <si>
    <t xml:space="preserve">La DANA permanecerá hasta el domingo y se espera una nueva a mediados de la próxima semana en la misma zona</t>
  </si>
  <si>
    <t xml:space="preserve"> "acechan"</t>
  </si>
  <si>
    <t xml:space="preserve">infecciones que acechan</t>
  </si>
  <si>
    <t xml:space="preserve">La Aemet da por finalizada la crisis meteorológica tras el paso de la dana por Valencia</t>
  </si>
  <si>
    <t xml:space="preserve"> "Desolación e incertidumbre"</t>
  </si>
  <si>
    <t xml:space="preserve">Nunca recuperaremos la normalidad</t>
  </si>
  <si>
    <t xml:space="preserve">La DANA del siglo arrasa l’Horta Sud y deja ya un centenar de muertos y cientos de atrapados en Valencia</t>
  </si>
  <si>
    <t xml:space="preserve">La DANA del siglo</t>
  </si>
  <si>
    <t xml:space="preserve"> "del siglo arrasa"</t>
  </si>
  <si>
    <t xml:space="preserve">La prensa internacional lleva a sus portadas las devastadoras consecuencias de la DANA: «España, apocalipsis de lluvia»</t>
  </si>
  <si>
    <t xml:space="preserve">Las impactantes imágenes desde el cielo del antes y el después de la DANA en Valencia</t>
  </si>
  <si>
    <t xml:space="preserve">Paiporta, el epicentro de la tragedia de la DANA: un pueblo devastado e incomunicado con 40 muertos y desaparecidos</t>
  </si>
  <si>
    <t xml:space="preserve">epicentro de la tragedia</t>
  </si>
  <si>
    <t xml:space="preserve">The Times cifra en 400 las víctimas mortales por la tragedia de Valencia</t>
  </si>
  <si>
    <t xml:space="preserve">El milagro bajo el diluvio de Forata, la presa que frenó 37.000 millones de litros de agua</t>
  </si>
  <si>
    <t xml:space="preserve">El milagro bajo el diluvio</t>
  </si>
  <si>
    <t xml:space="preserve">¡Así luce la casa de los Lewandowski tras la DANA en Barcelona!</t>
  </si>
  <si>
    <t xml:space="preserve">Mestalla, centro de operaciones del Banco de Alimentos para ayudar a los afectados por la DANA</t>
  </si>
  <si>
    <t xml:space="preserve"> "zona cero"</t>
  </si>
  <si>
    <t xml:space="preserve">La crítica situación de un refugio en Valencia con el paso de la DANA: “Nos desalojaban a nosotras pero a los perros no y de aquí no nos movemos”</t>
  </si>
  <si>
    <t xml:space="preserve">crítica situación</t>
  </si>
  <si>
    <t xml:space="preserve"> "devastador paso"</t>
  </si>
  <si>
    <t xml:space="preserve">devastador paso de la DANA</t>
  </si>
  <si>
    <t xml:space="preserve">Doce horas clave y un cúmulo de errores: así transcurrió el día de la tragedia provocada por la DANA en Valencia</t>
  </si>
  <si>
    <t xml:space="preserve">cúmulo de errores</t>
  </si>
  <si>
    <t xml:space="preserve">Así debes vestirte si quieres ayudar a los afectados por la DANA en Valencia y no poner en riesgo tu salud</t>
  </si>
  <si>
    <t xml:space="preserve">El Centro de Inundaciones de Google que las pronostica 5 días antes de que sucedan</t>
  </si>
  <si>
    <t xml:space="preserve">Directo: Evacuan agua de los embalses de María Cristina y Ulldecona</t>
  </si>
  <si>
    <t xml:space="preserve">Nieve en Castellón: La DANA tiñe de blanco algunos municipios de la provincia</t>
  </si>
  <si>
    <t xml:space="preserve">Una nueva vida en Benicàssim después de perder sus casas por la DANA</t>
  </si>
  <si>
    <t xml:space="preserve">Minutos de silencio por la víctimas de la DANA en Valencia</t>
  </si>
  <si>
    <t xml:space="preserve">Hallan el cadáver de un niño de cinco años en Loriguilla al que arrastró la DANA</t>
  </si>
  <si>
    <t xml:space="preserve">Cronología | Una semana que ha cambiado la historia de Valencia</t>
  </si>
  <si>
    <t xml:space="preserve">ha cambiado la historia de Valencia</t>
  </si>
  <si>
    <t xml:space="preserve"> "ha cambiado la historia"</t>
  </si>
  <si>
    <t xml:space="preserve">Los vídeos de los efectos de la DANA en Valencia: de rescates dramáticos a pueblos inundados</t>
  </si>
  <si>
    <t xml:space="preserve">rescates dramáticos</t>
  </si>
  <si>
    <t xml:space="preserve"> "rescates dramáticos"</t>
  </si>
  <si>
    <t xml:space="preserve">Una noche dura y triste: centenares de atrapados y pérdidas humanas confirmadas a causa de la DANA</t>
  </si>
  <si>
    <t xml:space="preserve"> "Una noche dura y triste"</t>
  </si>
  <si>
    <t xml:space="preserve">DIRECTO | Última hora de la DANA en Valencia</t>
  </si>
  <si>
    <t xml:space="preserve">DIRECTO | Última hora de la DANA en la Comunitat</t>
  </si>
  <si>
    <t xml:space="preserve">Inundaciones y daños por la DANA en la provincia de Valencia: "Esto es una locura"</t>
  </si>
  <si>
    <t xml:space="preserve">Esto es una locura</t>
  </si>
  <si>
    <t xml:space="preserve"> "Esto es una locura"</t>
  </si>
  <si>
    <t xml:space="preserve">La catástrofe que cambió el rumbo de la ciudad</t>
  </si>
  <si>
    <t xml:space="preserve"> "catástrofe que cambió el rumbo"</t>
  </si>
  <si>
    <t xml:space="preserve">Caos y devastación absoluta</t>
  </si>
  <si>
    <t>Caos</t>
  </si>
  <si>
    <t xml:space="preserve"> "Caos y devastación absoluta"</t>
  </si>
  <si>
    <t xml:space="preserve">devastación absoluta</t>
  </si>
  <si>
    <t xml:space="preserve">La Aemet alerta de la llegada de nuevas lluvias "muy fuertes o torrenciales" a Valencia</t>
  </si>
  <si>
    <t xml:space="preserve">Dana, viento y mar cálido: la tormenta perfecta</t>
  </si>
  <si>
    <t xml:space="preserve">la tormenta perfecta</t>
  </si>
  <si>
    <t xml:space="preserve"> "la tormenta perfecta"</t>
  </si>
  <si>
    <t xml:space="preserve">La AEMET mantiene el riesgo de la nueva dana y advierte que lo peor está por llegar</t>
  </si>
  <si>
    <t xml:space="preserve">lo peor está por llegar</t>
  </si>
  <si>
    <t xml:space="preserve"> "lo peor está por llegar"</t>
  </si>
  <si>
    <t xml:space="preserve">Las lluvias torrenciales acumulan 435,8 litros por metro cuadrado en Chiva</t>
  </si>
  <si>
    <t xml:space="preserve">Las imágenes por satélite muestran el brutal impacto de la catastrófica riada</t>
  </si>
  <si>
    <t xml:space="preserve">brutal impacto</t>
  </si>
  <si>
    <t xml:space="preserve"> "brutal impacto"</t>
  </si>
  <si>
    <t xml:space="preserve">brutal impacto de la catastrófica riada</t>
  </si>
  <si>
    <t xml:space="preserve">Cartografía de una riada (y 3): Los tres frentes del desastre en el interior valenciano</t>
  </si>
  <si>
    <t>desastre</t>
  </si>
  <si>
    <t xml:space="preserve"> "desastre"</t>
  </si>
  <si>
    <t xml:space="preserve">Catorce horas: anatomía de una crisis</t>
  </si>
  <si>
    <t xml:space="preserve">Emergencias recomienda suspender clases y optar por el teletrabajo</t>
  </si>
  <si>
    <t xml:space="preserve">La peor catástrofe meteorológica ya deja más de 100 muertos y decenas de desaparecidos</t>
  </si>
  <si>
    <t xml:space="preserve">La peor catástrofe meteorológica</t>
  </si>
  <si>
    <t xml:space="preserve"> "La peor catástrofe"</t>
  </si>
  <si>
    <t xml:space="preserve">Alcaldesa de Rafelguaraf: "Los más mayores dicen que nunca habían visto desbordarse el Barranco de Barxeta tres veces en un día"</t>
  </si>
  <si>
    <t xml:space="preserve">Un pluviómetro ubicado en Turís marcó un máximo de 784 litros en 24 horas</t>
  </si>
  <si>
    <t xml:space="preserve">La última media hora de angustia en la "ratonera mortal" del garaje de La Torre</t>
  </si>
  <si>
    <t>angustia</t>
  </si>
  <si>
    <t xml:space="preserve"> "ratonera mortal"</t>
  </si>
  <si>
    <t xml:space="preserve">ratonera mortal</t>
  </si>
  <si>
    <t xml:space="preserve">Así gestionó Polonia su DANA: "dos días antes los pueblos estaban evacuados"</t>
  </si>
  <si>
    <t xml:space="preserve">La cifra de fallecidos asciende a 221 tras la Dana y los desaparecidos bajan a 7</t>
  </si>
  <si>
    <t xml:space="preserve">La Peregrina de Valencia visitará los barrios de Torrent afectados por la DANA el 29 de 11</t>
  </si>
  <si>
    <t xml:space="preserve">Torrent remite a la Generalitat el callejero de zonas afectadas para agilizar la tramitación de ayudas</t>
  </si>
  <si>
    <t xml:space="preserve">Actualización de servicios de transporte público sustitutivo en el área metropolitana de Valencia</t>
  </si>
  <si>
    <t xml:space="preserve">Aigües de l’Horta garantiza la potabilidad del agua en la ciudad de Torrent</t>
  </si>
  <si>
    <t xml:space="preserve">¿Cómo sustituir 128.000 vehículos afectados por la DANA?: se espera una demanda sin precedentes en el sector</t>
  </si>
  <si>
    <t xml:space="preserve">Joanna Ivars explica por qué la DANA ha adquirido este nivel de devastación: "Es la peor gota fría del siglo XXI"</t>
  </si>
  <si>
    <t xml:space="preserve">la peor gota fría del siglo XXI</t>
  </si>
  <si>
    <t xml:space="preserve"> "irrumpió"</t>
  </si>
  <si>
    <t xml:space="preserve">30 días, 30 cifras de la Dana de Valencia</t>
  </si>
  <si>
    <t xml:space="preserve">Javier e Inga, víctimas del incendio de Campanar y de la DANA en Valencia: "Ha sido un año horrible"</t>
  </si>
  <si>
    <t xml:space="preserve"> "tragedia"</t>
  </si>
  <si>
    <t xml:space="preserve">El Ejército, recibido entre aplausos a su llegada a las zonas afectadas por la DANA en Valencia</t>
  </si>
  <si>
    <t xml:space="preserve">Las nuevas imágenes de rescates 'in extremis' tras el paso de la DANA por Valencia</t>
  </si>
  <si>
    <t xml:space="preserve">in extremis</t>
  </si>
  <si>
    <t xml:space="preserve"> "peor DANA del siglo"</t>
  </si>
  <si>
    <t xml:space="preserve">la peor DANA del siglo</t>
  </si>
  <si>
    <t xml:space="preserve">Al menos 95 muertos en España tras la peor DANA del siglo</t>
  </si>
  <si>
    <t xml:space="preserve">Última Hora de la DANA en directo | Descienden a 23 las personas desaparecidas en Valencia</t>
  </si>
  <si>
    <t xml:space="preserve">Resumen de la DANA en el Mediterráneo del 6 de noviembre de 2024: 219 muertos en Valencia, Castilla-La Mancha y Andalucía</t>
  </si>
  <si>
    <t xml:space="preserve">Milagro tras la DANA: rescatan a una mujer después de tres días atrapada en un coche en Benetússer, Valencia</t>
  </si>
  <si>
    <t xml:space="preserve"> "garaje de los horrores"</t>
  </si>
  <si>
    <t xml:space="preserve">garaje de los horrores</t>
  </si>
  <si>
    <t xml:space="preserve">Interior responsabiliza al gobierno de la Comunidad Valenciana de que no se alertara antes de la DANA</t>
  </si>
  <si>
    <t xml:space="preserve">La AEMET reiteró en varias ocasiones del peligro de la DANA en Valencia: avisó hasta con cinco días de antelación</t>
  </si>
  <si>
    <t xml:space="preserve"> "lodo de Valencia"</t>
  </si>
  <si>
    <t xml:space="preserve">El dueño de Deliplus y Bosque Verde y el de la marca Luanvi, así como otros dos empresarios, entre los desaparecidos en Valencia por la DANA</t>
  </si>
  <si>
    <t xml:space="preserve">Los equipos de rescate siguen buscando víctimas y desaparecidos por la DANA en Valencia y Albacete</t>
  </si>
  <si>
    <t xml:space="preserve">Cómo ayudar a los afectados por la DANA: estos son los centros de recogida de ayuda habilitados</t>
  </si>
  <si>
    <t xml:space="preserve"> "in extremis"</t>
  </si>
  <si>
    <t xml:space="preserve">rescates 'in extremis'</t>
  </si>
  <si>
    <t xml:space="preserve">Rosalía acude a Valencia a ayudar a los afectados por la DANA: la cantante colabora con el chef José Andrés</t>
  </si>
  <si>
    <t xml:space="preserve">Valencia recibe la ayuda de Francia, Portugal y Marruecos por los estragos de la DANA</t>
  </si>
  <si>
    <t xml:space="preserve"> "nivel de devastación"</t>
  </si>
  <si>
    <t xml:space="preserve">La Cruz Roja se vuelca con Valencia tras la DANA: así distribuyen materiales y alimentos y prestan atención sanitaria</t>
  </si>
  <si>
    <t xml:space="preserve"> "se ceba"</t>
  </si>
  <si>
    <t xml:space="preserve">se ceba con Castellón y Tarragona</t>
  </si>
  <si>
    <t xml:space="preserve">Un milagro en plena tragedia de la DANA: rescatan a una mujer tras pasar tres días en el interior de su coche en Valencia</t>
  </si>
  <si>
    <t xml:space="preserve">Valencia, incomunicada por la DANA: trenes cancelados, carreteras cortadas y el puerto cerrado</t>
  </si>
  <si>
    <t xml:space="preserve">Última hora de la DANA en España | Se mantienen en 219 los fallecidos en Valencia y bajan a ocho los desaparecidos</t>
  </si>
  <si>
    <t xml:space="preserve">Francisco J. Tapiador, sobre la DANA de Valencia: “Esta desgracia puede volver a suceder el año que viene”</t>
  </si>
  <si>
    <t xml:space="preserve">La DANA se ceba con Castellón y Tarragona con graves inundaciones y se acerca a Aragón</t>
  </si>
  <si>
    <t xml:space="preserve">se ceba;graves inundaciones</t>
  </si>
  <si>
    <t xml:space="preserve">La UME asegura que se activó en Valencia a las 15.41 del día 29, "horas antes de recibir órdenes oficiales", y muestra las imágenes</t>
  </si>
  <si>
    <t xml:space="preserve">Las ONG se movilizan para ayudar a los damnificados por la DANA en Valencia y Castilla-La Mancha</t>
  </si>
  <si>
    <t xml:space="preserve"> "día negro en la historia"</t>
  </si>
  <si>
    <t xml:space="preserve">día negro en la historia de Valencia</t>
  </si>
  <si>
    <t xml:space="preserve">Imágenes inéditas de cómo irrumpió la DANA en Aldaya sin apenas llover</t>
  </si>
  <si>
    <t xml:space="preserve"> "Esto es una ratonera"</t>
  </si>
  <si>
    <t xml:space="preserve">Esto es una ratonera, no podemos salir</t>
  </si>
  <si>
    <t xml:space="preserve">Polémica por la limpieza de los cauces de los ríos: la Generalitat asegura que la CHJ les impidió realizarla</t>
  </si>
  <si>
    <t xml:space="preserve">Datos y cifras sobre las consecuencias de la dana</t>
  </si>
  <si>
    <t xml:space="preserve">La DANA se cobra la primera víctima en la Comunidad Valenciana: varios desaparecidos y un AVE descarriado</t>
  </si>
  <si>
    <t xml:space="preserve">Cortes de carreteras en Valencia y Cuenca por las fuertes lluvias de las últimas horas: consulta las vías afectadas por la DANA</t>
  </si>
  <si>
    <t xml:space="preserve">DANA en Valencia | Lydia Cruz, de Informativos Telecinco, atrapada en la A-3: “Esto es una ratonera, no podemos salir”</t>
  </si>
  <si>
    <t>ratonera</t>
  </si>
  <si>
    <t xml:space="preserve">La DANA más extrema del siglo en España: ¿cómo y por qué se ha formado?</t>
  </si>
  <si>
    <t xml:space="preserve">más extrema del siglo</t>
  </si>
  <si>
    <t xml:space="preserve">El garaje de los horrores de La Torre (Valencia) deja 7 muertos: bajaron a por su coche y el agua les arrasó</t>
  </si>
  <si>
    <t xml:space="preserve"> "milagro en plena tragedia"</t>
  </si>
  <si>
    <t xml:space="preserve">Un milagro en plena tragedia</t>
  </si>
  <si>
    <t xml:space="preserve">Última hora de la DANA en directo: manifestación multitudinaria en Valencia y cargas policiales</t>
  </si>
  <si>
    <t xml:space="preserve"> "más extrema del siglo"</t>
  </si>
  <si>
    <t xml:space="preserve">La DANA más extrema del siglo</t>
  </si>
  <si>
    <t xml:space="preserve">Así es el importante trabajo de la Cruz Roja tras la DANA de Valencia: ya llevan casi 190.000 asistencias desde el inicio de la tragedia</t>
  </si>
  <si>
    <t xml:space="preserve"> "desgracia puede volver a suceder"</t>
  </si>
  <si>
    <t xml:space="preserve">puede volver a suceder el año que viene</t>
  </si>
  <si>
    <t xml:space="preserve">Solo 128 de los más de 17.000 millones aprobados en ayudas han llegado ya al lodo de Valencia</t>
  </si>
  <si>
    <t xml:space="preserve"> "se cobra la primera víctima"</t>
  </si>
  <si>
    <t xml:space="preserve">se cobra la primera víctima</t>
  </si>
  <si>
    <t xml:space="preserve">Roberto Brasero explica cómo será la nueva DANA: "Vamos a tener lluvias abundantes con fuertes tormentas"</t>
  </si>
  <si>
    <t xml:space="preserve">Catástrofe medioambiental en la Albufera: "¿Vamos a estar 50 años comiendo arroz intoxicado?"</t>
  </si>
  <si>
    <t xml:space="preserve">Catástrofe medioambiental</t>
  </si>
  <si>
    <t xml:space="preserve"> "Ha sido un año horrible"</t>
  </si>
  <si>
    <t xml:space="preserve">La historia de Neizan y Nizan, los niños de Valencia que se han hecho virales: "Nunca os rindáis y ayudad a vuestros padres, abuelos..."</t>
  </si>
  <si>
    <t xml:space="preserve">Los reyes volverán a las zonas de Valencia afectadas por la DANA la próxima semana: "Somos conscientes de que cada uno tenemos que estar en nuestro sitio"</t>
  </si>
  <si>
    <t xml:space="preserve"> "Milagro"</t>
  </si>
  <si>
    <t xml:space="preserve">Milagro tras la DANA</t>
  </si>
  <si>
    <t xml:space="preserve">El detalle de Manolo Lama con unos niños valencianos víctimas de la DANA: "Les has hecho felices unos minutos"</t>
  </si>
  <si>
    <t xml:space="preserve">Cronología de una alerta roja por la DANA que acabó en tragedia: 55 minutos de retraso que pudieron salvar vidas</t>
  </si>
  <si>
    <t xml:space="preserve">acabó en tragedia</t>
  </si>
  <si>
    <t xml:space="preserve"> "más traumas"</t>
  </si>
  <si>
    <t xml:space="preserve">Ranking de la gota fría: los municipios valencianos donde más ha llovido</t>
  </si>
  <si>
    <t xml:space="preserve"> "más impactantes"</t>
  </si>
  <si>
    <t xml:space="preserve">imágenes más impactantes</t>
  </si>
  <si>
    <t xml:space="preserve">La reacción de unos militares que deja sin palabras a Lidia, una joven de Valencia que ha perdido su panadería en Paiporta: "Es muy fuerte"</t>
  </si>
  <si>
    <t xml:space="preserve"> "no la ahogara"</t>
  </si>
  <si>
    <t xml:space="preserve">El agua nos llegaba por el cuello</t>
  </si>
  <si>
    <t xml:space="preserve">La hora de la alerta del día de la DANA convertida, un mes después, en señal de repulsa a la gestión a Mazón</t>
  </si>
  <si>
    <t xml:space="preserve"> "heroico rescate"</t>
  </si>
  <si>
    <t xml:space="preserve">El agua por el cuello</t>
  </si>
  <si>
    <t xml:space="preserve">Restringen el acceso de voluntarios a 11 municipios de Valencia afectados por la DANA ante el aviso amarillo por lluvias este domingo</t>
  </si>
  <si>
    <t xml:space="preserve">Rei Ortolá, el cantante que ha puesto banda sonora a la DANA</t>
  </si>
  <si>
    <t xml:space="preserve"> "revolución meteorológica"</t>
  </si>
  <si>
    <t xml:space="preserve">¿Está Euskadi preparada para una DANA como la de Valencia?</t>
  </si>
  <si>
    <t xml:space="preserve">La DANA se salda, de momento, con 92 fallecidos y decenas de desaparecidos en la Comunitat Valenciana</t>
  </si>
  <si>
    <t xml:space="preserve">El mapa de la devastación en Valencia: los enviados especiales de la SER relatan cómo se encuentran las zonas más afectadas por la DANA</t>
  </si>
  <si>
    <t xml:space="preserve">mapa de la devastación</t>
  </si>
  <si>
    <t xml:space="preserve"> "deja sin palabras"</t>
  </si>
  <si>
    <t xml:space="preserve">El heroico rescate de una mujer en silla de ruedas en un pueblo de Valencia afectado por la DANA: "El agua por el cuello"</t>
  </si>
  <si>
    <t xml:space="preserve">heroico rescate</t>
  </si>
  <si>
    <t xml:space="preserve"> "Es apocalíptico"</t>
  </si>
  <si>
    <t xml:space="preserve">La DANA que afecta a la Comunitat Valenciana obliga a cerrar carreteras por inundaciones en la provincia de Valencia</t>
  </si>
  <si>
    <t xml:space="preserve">DANA en España hoy, última hora en directo: el ministro Grande-Marlaska eleva a 219 el número de fallecidos</t>
  </si>
  <si>
    <t xml:space="preserve">La DANA, más allá de la tragedia: "Cuando te pasan estas cosas valoras la importancia de los tuyos"</t>
  </si>
  <si>
    <t xml:space="preserve">Las consecuencias de la DANA, en imágenes</t>
  </si>
  <si>
    <t xml:space="preserve"> "golpeó la 'zona cero'"</t>
  </si>
  <si>
    <t xml:space="preserve">Las impactantes imágenes de un satélite que muestran el antes y el después del paso de la DANA por Valencia</t>
  </si>
  <si>
    <t xml:space="preserve">Las imágenes más impactantes de la DANA en la Comunidad Valenciana: "Está en peligro"</t>
  </si>
  <si>
    <t xml:space="preserve">más impactantes</t>
  </si>
  <si>
    <t xml:space="preserve"> "Cien vidas segadas"</t>
  </si>
  <si>
    <t xml:space="preserve">Cien vidas segadas</t>
  </si>
  <si>
    <t xml:space="preserve">Así han sido las labores de rescate por la DANA este 30 de 10: al menos 95 muertos, casi todas en Valencia</t>
  </si>
  <si>
    <t xml:space="preserve"> "acabó en tragedia"</t>
  </si>
  <si>
    <t xml:space="preserve">Encuentran los cuerpos de Rubén e Izan, los niños desaparecidos en Torrent por la DANA</t>
  </si>
  <si>
    <t xml:space="preserve">Mazón, en COPE: "La UME fue activada el mismo martes, antes de la revolución meteorológica"</t>
  </si>
  <si>
    <t xml:space="preserve">revolución meteorológica</t>
  </si>
  <si>
    <t xml:space="preserve"> "caos y tragedia"</t>
  </si>
  <si>
    <t xml:space="preserve">genera caos y tragedia</t>
  </si>
  <si>
    <t xml:space="preserve">Las redes sociales y la DANA, el caldo de cultivo de la desinformación y los bulos</t>
  </si>
  <si>
    <t xml:space="preserve">Cuándo termina la nueva DANA por lluvias torrenciales: alerta roja en Málaga, Valencia y Tarragona</t>
  </si>
  <si>
    <t xml:space="preserve"> "devastación"</t>
  </si>
  <si>
    <t xml:space="preserve">Un caudal 5 veces superior al Ebro golpeó la 'zona cero' de la DANA de Valencia</t>
  </si>
  <si>
    <t xml:space="preserve">La DANA genera caos y tragedia: Mazón confirma fallecidos y la crecida de ríos y barrancos anega e incomunica la provincia de Valencia</t>
  </si>
  <si>
    <t xml:space="preserve">caos y tragedia</t>
  </si>
  <si>
    <t xml:space="preserve">Monólogo de Alsina: "Cien vidas segadas"</t>
  </si>
  <si>
    <t xml:space="preserve">Paula se subió en un árbol para que la riada por la DANA en Valencia no la ahogara: "El agua nos llegaba por el cuello"</t>
  </si>
  <si>
    <t xml:space="preserve">La dana en Valencia dejó un nuevo récord histórico de lluvia en España: 184,6 litros en una hora</t>
  </si>
  <si>
    <t xml:space="preserve">Así refleja la prensa internacional el impacto de la DANA en España: «Parecía el fin del mundo»</t>
  </si>
  <si>
    <t xml:space="preserve">el fin del mundo</t>
  </si>
  <si>
    <t xml:space="preserve">El radar de la AEMET en Valencia funcionó durante la dana</t>
  </si>
  <si>
    <t xml:space="preserve">Vídeo | Una noche atrapados en Ikea por la dana en Valencia</t>
  </si>
  <si>
    <t xml:space="preserve">Comunicado de última hora de Máxima de Holanda tras el devastador paso de la DANA por Valencia</t>
  </si>
  <si>
    <t>devastador</t>
  </si>
  <si>
    <t xml:space="preserve">Plataforma del Voluntariado ensalza la labor de los miles de voluntarios tras la DANA: "Impresionante"</t>
  </si>
  <si>
    <t xml:space="preserve">imágenes desoladoras</t>
  </si>
  <si>
    <t xml:space="preserve">Dos respuestas distintas para dos catástrofes anunciadas</t>
  </si>
  <si>
    <t xml:space="preserve">catástrofes anunciadas</t>
  </si>
  <si>
    <t xml:space="preserve">Apocalipsis en Valencia bajo la DANA más devastadora del siglo: 92 muertos y todas las alertas sobrepasadas</t>
  </si>
  <si>
    <t>Apocalipsis</t>
  </si>
  <si>
    <t xml:space="preserve">La Generalitat Valenciana activa el procedimiento de múltiples víctimas por la dana</t>
  </si>
  <si>
    <t xml:space="preserve">Las imágenes más devastadoras del paso de la DANA</t>
  </si>
  <si>
    <t xml:space="preserve">más devastadoras</t>
  </si>
  <si>
    <t xml:space="preserve">La Generalitat lanza una nueva alerta móvil en el litoral sur de Valencia para avisar de las lluvias</t>
  </si>
  <si>
    <t xml:space="preserve">Emergencias eleva a roja la alerta por lluvias en todo el litoral e interior norte de Valencia</t>
  </si>
  <si>
    <t xml:space="preserve">Las calles de Sedaví (Valencia) que han dado la vuelta al mundo tras el paso de la dana</t>
  </si>
  <si>
    <t xml:space="preserve">El vídeo que una joven envía a su familia tras el paso de la DANA en Valencia</t>
  </si>
  <si>
    <t xml:space="preserve">Vicente Tarancón, fundador de Luanvi, entre los desaparecidos por la DANA</t>
  </si>
  <si>
    <t xml:space="preserve">Jornada política del 29 de noviembre de 2024 | Cientos de personas se concentran en distintos puntos de Valencia en recuerdo a las víctimas de la dana</t>
  </si>
  <si>
    <t xml:space="preserve">¿Actuaron con lentitud los servicios de Emergencias y Protección civil valencianos?</t>
  </si>
  <si>
    <t xml:space="preserve">Las infecciones que acechan tras la DANA: precauciones y síntomas a tener en cuenta</t>
  </si>
  <si>
    <t>acechan</t>
  </si>
  <si>
    <t xml:space="preserve">Aemet eleva a nivel rojo el aviso en Valencia por lluvias de hasta 180 l/m2 en sólo cuatro o cinco horas</t>
  </si>
  <si>
    <t xml:space="preserve">Los afectados por la DANA de Valencia podrán recuperar el dinero efectivo que perdieron</t>
  </si>
  <si>
    <t xml:space="preserve"> "Catástrofe medioambiental"</t>
  </si>
  <si>
    <t xml:space="preserve">¿Vamos a estar 50 años comiendo arroz intoxicado?</t>
  </si>
  <si>
    <t xml:space="preserve">Cacho, sobre la DANA en Valencia: "El primer aviso rojo de la AEMET se aplicó a las 7:30 y la alerta llegó a las 20h"</t>
  </si>
  <si>
    <t xml:space="preserve">El mapa de la tragedia: estos son los puntos más afectados por el paso de la DANA</t>
  </si>
  <si>
    <t xml:space="preserve">mapa de la tragedia</t>
  </si>
  <si>
    <t xml:space="preserve">Una Dana descomunal sorprende a los valencianos y deja ya 92 muertos</t>
  </si>
  <si>
    <t>descomunal</t>
  </si>
  <si>
    <t xml:space="preserve"> "descomunal"</t>
  </si>
  <si>
    <t xml:space="preserve">Dana descomunal</t>
  </si>
  <si>
    <t xml:space="preserve">De humedades y filtraciones a lesiones en cimientos: los daños de la Dana en los edificios</t>
  </si>
  <si>
    <t xml:space="preserve">Las víctimas de la Dana: 132 hombres y 89 mujeres, la mayoría de más de 50 años</t>
  </si>
  <si>
    <t xml:space="preserve">La Dana daña archivos de Hacienda, Industria y Presidencia en sus almacenes de Riba-roja</t>
  </si>
  <si>
    <t xml:space="preserve">Así ayudó la EMT la noche de la dana: "Estuve hasta las seis llevando a gente"</t>
  </si>
  <si>
    <t xml:space="preserve">Cifran entre 45.000 y 50.000 los voluntarios de la Dana en los primeros días de la crisis</t>
  </si>
  <si>
    <t xml:space="preserve">Picanya, un mes después de la Dana: una pseudo normalidad impregnada de resignación y paciencia</t>
  </si>
  <si>
    <t xml:space="preserve">La verdad de lo ocurrido en Bonaire: el parking se evacuó sin saber si quedaban personas dentro</t>
  </si>
  <si>
    <t xml:space="preserve">Agotado el número 29, el día de la DANA, en la administración de lotería de Benetússer</t>
  </si>
  <si>
    <t xml:space="preserve">AEMET baja a naranja el aviso en el litoral de Valencia: «Lo peor de esta DANA ha pasado»</t>
  </si>
  <si>
    <t xml:space="preserve">23 personas continúan desaparecidas desde la catástrofe de la DANA</t>
  </si>
  <si>
    <t xml:space="preserve">¿Qué motivó el cambio del término 'gota fría' a 'DANA' en los temporales?</t>
  </si>
  <si>
    <t xml:space="preserve">Las explicaciones del president, mañana en Les Corts</t>
  </si>
  <si>
    <t xml:space="preserve">La DANA destroza talleres de artistas falleros a cuatro meses de Fallas</t>
  </si>
  <si>
    <t xml:space="preserve">Carlos Mazón admite errores y pide perdón porque la DANA superó todos los protocolos</t>
  </si>
  <si>
    <t xml:space="preserve">Quart de Poblet afronta la recuperación tras las inundaciones de la DANA</t>
  </si>
  <si>
    <t xml:space="preserve"> "impactante imagen de la devastación"</t>
  </si>
  <si>
    <t xml:space="preserve">VÍDEO | La impactante imagen de la devastación por la DANA vista desde el aire</t>
  </si>
  <si>
    <t xml:space="preserve">impactante imagen de la devastación</t>
  </si>
  <si>
    <t xml:space="preserve">Empresarios chinos ayudan a la Policía por la DANA</t>
  </si>
  <si>
    <t xml:space="preserve">Valencia suspende las clases por la nueva DANA</t>
  </si>
  <si>
    <t xml:space="preserve"> "destroza"</t>
  </si>
  <si>
    <t xml:space="preserve">Cronología de la DANA del 29 de 10, día negro en la historia de Valencia: de las primeras lluvias en Utiel a la alerta de las 20:12</t>
  </si>
  <si>
    <t xml:space="preserve">sin saber si quedaban personas dentro</t>
  </si>
  <si>
    <t xml:space="preserve">Última hora de la Dana en Valencia y España, en directo | Preocupación por el parking anegado del centro comercial de Bonaire "el más grande de Europa" donde se teme que pueda haber numerosas víctimas</t>
  </si>
  <si>
    <t xml:space="preserve">Entran en vigor los tres días de luto nacional por la DANA</t>
  </si>
  <si>
    <t xml:space="preserve"> "tormentas destructivas"</t>
  </si>
  <si>
    <t xml:space="preserve">El 72% de españoles señalan a la Generalitat como responsable de la alerta por la DANA, el 53% al Gobierno y el 20% a la AEMET</t>
  </si>
  <si>
    <t xml:space="preserve"> "Evitar lo inevitable"</t>
  </si>
  <si>
    <t xml:space="preserve">Evitar lo inevitable</t>
  </si>
  <si>
    <t xml:space="preserve">¿Qué ha pasado en Valencia? Mapas y gráficos de la dana y sus consecuencias</t>
  </si>
  <si>
    <t xml:space="preserve">La mitad de las víctimas mortales de la DANA en Valencia tenían más de 70 años y hay fallecidos de 12 nacionalidades</t>
  </si>
  <si>
    <t xml:space="preserve">Las impactantes imágenes que deja la DANA en España</t>
  </si>
  <si>
    <t xml:space="preserve"> "catástrofes anunciadas"</t>
  </si>
  <si>
    <t xml:space="preserve">Desolación e incertidumbre entre los alcaldes de los pueblos de Valencia afectados por la DANA: "Nunca recuperaremos la normalidad"</t>
  </si>
  <si>
    <t xml:space="preserve">Desolación e incertidumbre</t>
  </si>
  <si>
    <t xml:space="preserve">Carreteras cortadas por la DANA hoy en España: zonas afectadas, cortes de tráfico de la DGT</t>
  </si>
  <si>
    <t>V1_ChatGPT_Exc</t>
  </si>
  <si>
    <t xml:space="preserve"> V1 Gemini_Exc</t>
  </si>
  <si>
    <t>V1_Claude_Exc</t>
  </si>
  <si>
    <t>LLM_V1</t>
  </si>
  <si>
    <t xml:space="preserve">suma LLM_V1_3</t>
  </si>
  <si>
    <t xml:space="preserve">suma LLM_V1_cg_gm</t>
  </si>
  <si>
    <t xml:space="preserve">suma LLM_V1_cg_cl</t>
  </si>
  <si>
    <t xml:space="preserve">suma LLM_V1_gm_cl</t>
  </si>
  <si>
    <t>V2_ChatGPT_Colapso</t>
  </si>
  <si>
    <t xml:space="preserve"> V2 Gemini_Colapso</t>
  </si>
  <si>
    <t>V2_Claude_Colapso</t>
  </si>
  <si>
    <t>LLM_V2</t>
  </si>
  <si>
    <t xml:space="preserve">suma LLM_V2_3</t>
  </si>
  <si>
    <t xml:space="preserve">suma LLM_V2_cg_gm</t>
  </si>
  <si>
    <t xml:space="preserve">suma LLM_V2_cg_cl</t>
  </si>
  <si>
    <t xml:space="preserve">suma LLM_V2_gm_cl</t>
  </si>
  <si>
    <t>V3_ChatGPT_Desprot</t>
  </si>
  <si>
    <t xml:space="preserve">V3 Gemini_Desprot</t>
  </si>
  <si>
    <t>V3_Claude_Desprot</t>
  </si>
  <si>
    <t>LLM_V3</t>
  </si>
  <si>
    <t xml:space="preserve">suma LLM_V3_3</t>
  </si>
  <si>
    <t xml:space="preserve">suma LLM_V3_cg_gm</t>
  </si>
  <si>
    <t xml:space="preserve">suma LLM_V3_cg_cl</t>
  </si>
  <si>
    <t xml:space="preserve">suma LLM_V3_gm_cl</t>
  </si>
  <si>
    <t>V4_ChatGPT_Escalada</t>
  </si>
  <si>
    <t>V4_Gemini_Escalada</t>
  </si>
  <si>
    <t>V4_Claude_Escalada</t>
  </si>
  <si>
    <t>LLM_V4</t>
  </si>
  <si>
    <t xml:space="preserve">suma LLM_V4_3</t>
  </si>
  <si>
    <t xml:space="preserve">suma LLM_V4_cg_gm</t>
  </si>
  <si>
    <t xml:space="preserve">suma LLM_V4_cg_cl</t>
  </si>
  <si>
    <t xml:space="preserve">suma LLM_V4_gm_cl</t>
  </si>
  <si>
    <t>Alarmismo_ChatGPT_rr</t>
  </si>
  <si>
    <t>Alarmismo_Gemini_rr</t>
  </si>
  <si>
    <t>Alarmismo_Claude_rr</t>
  </si>
  <si>
    <t xml:space="preserve">suma LLM_Alarm_rr_3</t>
  </si>
  <si>
    <t xml:space="preserve">suma LLM_alarm_rr_cg_gm</t>
  </si>
  <si>
    <t xml:space="preserve">suma LLM_alarm_rr_cg_cl</t>
  </si>
  <si>
    <t xml:space="preserve">suma LLM_alarm_rr_gm_cl</t>
  </si>
  <si>
    <t>V1_ChatGPT_Evid</t>
  </si>
  <si>
    <t>V1-Gemini_Evid</t>
  </si>
  <si>
    <t>V1_Claude_Evid</t>
  </si>
  <si>
    <t>V1_LLM_Evidencia</t>
  </si>
  <si>
    <t>V2_ChatGP_Evid</t>
  </si>
  <si>
    <t>V2_Gemini_Evid</t>
  </si>
  <si>
    <t>V2_Claude_Evid</t>
  </si>
  <si>
    <t>V2_LLM_Evid</t>
  </si>
  <si>
    <t>V3_ChatGPT_Evid</t>
  </si>
  <si>
    <t>V3_Gemini_Evid</t>
  </si>
  <si>
    <t>V3_Claude_Evid</t>
  </si>
  <si>
    <t>V3_LLM_Evid</t>
  </si>
  <si>
    <t>V4_ChatGPT_Evid</t>
  </si>
  <si>
    <t>V4_Gemini_Evid</t>
  </si>
  <si>
    <t>V4_Claude_Evid</t>
  </si>
  <si>
    <t>V4_LLM_Evidencia</t>
  </si>
  <si>
    <t xml:space="preserve">sumergió pueblos enteros</t>
  </si>
  <si>
    <t xml:space="preserve">se espera una nueva a mediados de la próxima semana</t>
  </si>
  <si>
    <t xml:space="preserve"> "se espera una nueva a mediados de la próxima semana"</t>
  </si>
  <si>
    <t xml:space="preserve">Carreteras cortadas</t>
  </si>
  <si>
    <t xml:space="preserve"> "Carreteras cortadas"</t>
  </si>
  <si>
    <t xml:space="preserve"> "centro de operaciones del Banco de Alimentos"</t>
  </si>
  <si>
    <t xml:space="preserve"> "llamó a su mujer para despedirse"</t>
  </si>
  <si>
    <t xml:space="preserve">Un familiar de mi mejor amigo llamó a su mujer para despedirse</t>
  </si>
  <si>
    <t xml:space="preserve">700 l/m2 en sólo 12 horas</t>
  </si>
  <si>
    <t xml:space="preserve"> "máximas de 700 l/m2"</t>
  </si>
  <si>
    <t xml:space="preserve"> "Devastación"</t>
  </si>
  <si>
    <t xml:space="preserve">la llegada de la nueva DANA</t>
  </si>
  <si>
    <t xml:space="preserve"> "llegada de la nueva DANA"</t>
  </si>
  <si>
    <t xml:space="preserve"> "Pasa con submarino"</t>
  </si>
  <si>
    <t xml:space="preserve">metro ... totalmente inundada</t>
  </si>
  <si>
    <t xml:space="preserve"> "boca del metro en Valencia totalmente inundada"</t>
  </si>
  <si>
    <t xml:space="preserve"> "Nos desalojaban a nosotras pero a los perros no"</t>
  </si>
  <si>
    <t xml:space="preserve">Nos desalojaban a nosotras pero a los perros no</t>
  </si>
  <si>
    <t xml:space="preserve">suspenden las clases</t>
  </si>
  <si>
    <t xml:space="preserve"> "suspende las clases"</t>
  </si>
  <si>
    <t xml:space="preserve"> "ante la nueva DANA"</t>
  </si>
  <si>
    <t>lentitud</t>
  </si>
  <si>
    <t xml:space="preserve"> "Actuaron con lentitud"</t>
  </si>
  <si>
    <t xml:space="preserve"> "poner en riesgo tu salud"</t>
  </si>
  <si>
    <t xml:space="preserve"> "atrapados en la carretera"</t>
  </si>
  <si>
    <t xml:space="preserve">conductores atrapados</t>
  </si>
  <si>
    <t xml:space="preserve">conductores atrapados en la carretera</t>
  </si>
  <si>
    <t>incomunicado</t>
  </si>
  <si>
    <t xml:space="preserve"> "incomunicado"</t>
  </si>
  <si>
    <t xml:space="preserve">un pueblo devastado e incomunicado</t>
  </si>
  <si>
    <t xml:space="preserve">40 muertos y desaparecidos</t>
  </si>
  <si>
    <t xml:space="preserve"> "el más grande de Europa"</t>
  </si>
  <si>
    <t xml:space="preserve"> "parking anegado"</t>
  </si>
  <si>
    <t xml:space="preserve"> "En la superficie no hay más cuerpos"</t>
  </si>
  <si>
    <t xml:space="preserve">más devastadora del siglo</t>
  </si>
  <si>
    <t xml:space="preserve"> "Apocalipsis" / "más devastadora del siglo"</t>
  </si>
  <si>
    <t xml:space="preserve">DANA más devastadora del siglo</t>
  </si>
  <si>
    <t xml:space="preserve">todas las alertas sobrepasadas</t>
  </si>
  <si>
    <t xml:space="preserve"> "todas las alertas sobrepasadas"</t>
  </si>
  <si>
    <t>diluvio</t>
  </si>
  <si>
    <t xml:space="preserve"> "milagro bajo el diluvio"</t>
  </si>
  <si>
    <t xml:space="preserve">las lluvias seguirán durante la semana</t>
  </si>
  <si>
    <t xml:space="preserve"> "lluvias seguirán durante la semana"</t>
  </si>
  <si>
    <t xml:space="preserve">lluvias de hasta 180 l/m2 en sólo cuatro o cinco horas</t>
  </si>
  <si>
    <t xml:space="preserve"> "eleva a nivel rojo el aviso"</t>
  </si>
  <si>
    <t xml:space="preserve">Aemet eleva a nivel rojo el aviso en Valencia</t>
  </si>
  <si>
    <t xml:space="preserve">un cúmulo de errores</t>
  </si>
  <si>
    <t xml:space="preserve"> "responsable de la alerta"</t>
  </si>
  <si>
    <t xml:space="preserve">Las infecciones que acechan tras la DANA</t>
  </si>
  <si>
    <t xml:space="preserve"> "infecciones que acechan"</t>
  </si>
  <si>
    <t xml:space="preserve">infecciones que acechan tras la DANA</t>
  </si>
  <si>
    <t xml:space="preserve"> "Nunca recuperaremos la normalidad"</t>
  </si>
  <si>
    <t xml:space="preserve">Desolación e incertidumbre entre los alcaldes</t>
  </si>
  <si>
    <t xml:space="preserve"> "del siglo"</t>
  </si>
  <si>
    <t>arrasa</t>
  </si>
  <si>
    <t xml:space="preserve">cientos de atrapados</t>
  </si>
  <si>
    <t xml:space="preserve">inunda dos residencias de ancianos</t>
  </si>
  <si>
    <t xml:space="preserve">muchas dudas sobre el transporte, el comedor o las ratios</t>
  </si>
  <si>
    <t xml:space="preserve"> "dudas" sobre el transporte, el comedor o las ratios"</t>
  </si>
  <si>
    <t xml:space="preserve"> "quedan "muchas dudas""</t>
  </si>
  <si>
    <t xml:space="preserve">quedan \muchas dudas\" sobre el transporte, el comedor o las ratios"</t>
  </si>
  <si>
    <t xml:space="preserve"> "alertas de la AEMET"</t>
  </si>
  <si>
    <t xml:space="preserve"> "cuando el agua se ha ido"</t>
  </si>
  <si>
    <t xml:space="preserve">No sabemos si podremos volver a nuestra casa</t>
  </si>
  <si>
    <t xml:space="preserve"> "No sabemos si podremos volver a nuestra casa"</t>
  </si>
  <si>
    <t xml:space="preserve"> "devastador"</t>
  </si>
  <si>
    <t xml:space="preserve">Cargas policiales</t>
  </si>
  <si>
    <t xml:space="preserve"> "quema la puerta del Ayuntamiento"</t>
  </si>
  <si>
    <t xml:space="preserve">La DANA tiñe de blanco algunos municipios de la provincia</t>
  </si>
  <si>
    <t xml:space="preserve">una semana que ha cambiado la historia de Valencia</t>
  </si>
  <si>
    <t xml:space="preserve">centenares de atrapados</t>
  </si>
  <si>
    <t xml:space="preserve"> "devastación absoluta"</t>
  </si>
  <si>
    <t xml:space="preserve"> "Caos"</t>
  </si>
  <si>
    <t xml:space="preserve">nuevas lluvias</t>
  </si>
  <si>
    <t xml:space="preserve"> "llegada de nuevas lluvias"</t>
  </si>
  <si>
    <t xml:space="preserve">nuevas lluvias \muy fuertes o torrenciales\""</t>
  </si>
  <si>
    <t>catastrófica</t>
  </si>
  <si>
    <t xml:space="preserve"> "suspender clases"</t>
  </si>
  <si>
    <t xml:space="preserve">nunca habían visto</t>
  </si>
  <si>
    <t xml:space="preserve"> "nunca habían visto"</t>
  </si>
  <si>
    <t xml:space="preserve">nunca habían visto desbordarse el Barranco de Barxeta tres veces en un día</t>
  </si>
  <si>
    <t xml:space="preserve">máximo de 784 litros en 24 horas</t>
  </si>
  <si>
    <t xml:space="preserve"> "máximo de 784 litros en 24 horas"</t>
  </si>
  <si>
    <t xml:space="preserve"> "dos días antes los pueblos estaban evacuados"</t>
  </si>
  <si>
    <t xml:space="preserve">irrumpió la DANA en Aldaya sin apenas llover</t>
  </si>
  <si>
    <t xml:space="preserve"> "Cruz Roja se vuelca"</t>
  </si>
  <si>
    <t xml:space="preserve">Vamos a tener lluvias abundantes con fuertes tormentas</t>
  </si>
  <si>
    <t xml:space="preserve"> "nueva DANA"</t>
  </si>
  <si>
    <t xml:space="preserve">cargas policiales</t>
  </si>
  <si>
    <t xml:space="preserve"> "cargas policiales"</t>
  </si>
  <si>
    <t xml:space="preserve">no se alertara antes</t>
  </si>
  <si>
    <t xml:space="preserve"> "no se alertara antes"</t>
  </si>
  <si>
    <t xml:space="preserve">no se alertara antes de la DANA</t>
  </si>
  <si>
    <t xml:space="preserve">bajaron a por su coche y el agua les arrasó</t>
  </si>
  <si>
    <t xml:space="preserve">Cortes de carreteras</t>
  </si>
  <si>
    <t xml:space="preserve"> "Cortes de carreteras"</t>
  </si>
  <si>
    <t xml:space="preserve">Solo 128 de los más de 17.000 millones aprobados en ayudas han llegado</t>
  </si>
  <si>
    <t xml:space="preserve"> "Solo 128 de los más de 17.000 millones [...] han llegado"</t>
  </si>
  <si>
    <t xml:space="preserve">trenes cancelados, carreteras cortadas y el puerto cerrado</t>
  </si>
  <si>
    <t xml:space="preserve"> "incomunicada" / "trenes cancelados, carreteras cortadas y el puerto cerrado"</t>
  </si>
  <si>
    <t xml:space="preserve"> "avisó hasta con cinco días de antelación"</t>
  </si>
  <si>
    <t xml:space="preserve"> "peor gota fría del siglo XXI"</t>
  </si>
  <si>
    <t xml:space="preserve">Es la peor gota fría del siglo XXI</t>
  </si>
  <si>
    <t xml:space="preserve">graves inundaciones</t>
  </si>
  <si>
    <t xml:space="preserve">se acerca a Aragón</t>
  </si>
  <si>
    <t xml:space="preserve"> "se acerca a Aragón"</t>
  </si>
  <si>
    <t xml:space="preserve"> "podrán recuperar el dinero"</t>
  </si>
  <si>
    <t xml:space="preserve">la alerta llegó a las 20h</t>
  </si>
  <si>
    <t xml:space="preserve"> "alerta llegó a las 20h"</t>
  </si>
  <si>
    <t xml:space="preserve">El primer aviso rojo de la AEMET se aplicó a las 7:30 y la alerta llegó a las 20h</t>
  </si>
  <si>
    <t xml:space="preserve"> "volverán a las zonas"</t>
  </si>
  <si>
    <t xml:space="preserve"> "centros de recogida de ayuda"</t>
  </si>
  <si>
    <t xml:space="preserve"> "trabajo de la Cruz Roja"</t>
  </si>
  <si>
    <t xml:space="preserve"> "alerta de las 20:12"</t>
  </si>
  <si>
    <t xml:space="preserve"> "ratonera"</t>
  </si>
  <si>
    <t xml:space="preserve"> "no podemos salir"</t>
  </si>
  <si>
    <t xml:space="preserve">no podemos salir</t>
  </si>
  <si>
    <t xml:space="preserve"> "acude a Valencia a ayudar"</t>
  </si>
  <si>
    <t xml:space="preserve"> "horas antes de recibir órdenes oficiales"</t>
  </si>
  <si>
    <t xml:space="preserve">horas antes de recibir órdenes oficiales</t>
  </si>
  <si>
    <t xml:space="preserve">tras pasar tres días en el interior de su coche</t>
  </si>
  <si>
    <t xml:space="preserve">tres días en el interior de su coche</t>
  </si>
  <si>
    <t xml:space="preserve"> "puede volver a suceder el año que viene"</t>
  </si>
  <si>
    <t xml:space="preserve">Esta desgracia puede volver a suceder el año que viene</t>
  </si>
  <si>
    <t xml:space="preserve">un AVE descarriado</t>
  </si>
  <si>
    <t xml:space="preserve"> "AVE descarriado"</t>
  </si>
  <si>
    <t xml:space="preserve">les impidió realizarla</t>
  </si>
  <si>
    <t xml:space="preserve"> "impidió realizarla"</t>
  </si>
  <si>
    <t xml:space="preserve">la CHJ les impidió realizarla</t>
  </si>
  <si>
    <t xml:space="preserve"> "año horrible"</t>
  </si>
  <si>
    <t xml:space="preserve">sin precedentes</t>
  </si>
  <si>
    <t xml:space="preserve"> "sin precedentes"</t>
  </si>
  <si>
    <t xml:space="preserve">una demanda sin precedentes</t>
  </si>
  <si>
    <t xml:space="preserve"> "sustituir 128.000 vehículos"</t>
  </si>
  <si>
    <t xml:space="preserve">se espera una demanda sin precedentes</t>
  </si>
  <si>
    <t xml:space="preserve"> "espera una demanda"</t>
  </si>
  <si>
    <t xml:space="preserve">¿Cómo sustituir 128.000 vehículos afectados por la DANA?</t>
  </si>
  <si>
    <t xml:space="preserve">tres días atrapada en un coche</t>
  </si>
  <si>
    <t xml:space="preserve">No hagan pasar a los niños por más traumas</t>
  </si>
  <si>
    <t xml:space="preserve">Está en peligro</t>
  </si>
  <si>
    <t xml:space="preserve"> "Está en peligro"</t>
  </si>
  <si>
    <t xml:space="preserve"> "UME fue activada el mismo martes"</t>
  </si>
  <si>
    <t xml:space="preserve">Restringen el acceso de voluntarios</t>
  </si>
  <si>
    <t xml:space="preserve"> "Restringen el acceso de voluntarios"</t>
  </si>
  <si>
    <t xml:space="preserve"> "aviso amarillo por lluvias"</t>
  </si>
  <si>
    <t xml:space="preserve"> "preparada para una DANA"</t>
  </si>
  <si>
    <t xml:space="preserve">obliga a cerrar carreteras</t>
  </si>
  <si>
    <t xml:space="preserve"> "cerrar carreteras"</t>
  </si>
  <si>
    <t xml:space="preserve">5 veces superior al Ebro</t>
  </si>
  <si>
    <t xml:space="preserve"> "5 veces superior al Ebro" / "zona cero"</t>
  </si>
  <si>
    <t xml:space="preserve">Un caudal 5 veces superior al Ebro</t>
  </si>
  <si>
    <t xml:space="preserve">Cuándo termina la nueva DANA</t>
  </si>
  <si>
    <t xml:space="preserve"> "alerta roja en Málaga, Valencia y Tarragona"</t>
  </si>
  <si>
    <t xml:space="preserve">alerta roja en Málaga, Valencia y Tarragona</t>
  </si>
  <si>
    <t xml:space="preserve">55 minutos de retraso</t>
  </si>
  <si>
    <t xml:space="preserve"> "55 minutos de retraso"</t>
  </si>
  <si>
    <t xml:space="preserve">55 minutos de retraso que pudieron salvar vidas</t>
  </si>
  <si>
    <t>caos</t>
  </si>
  <si>
    <t xml:space="preserve"> "anega e incomunica"</t>
  </si>
  <si>
    <t xml:space="preserve">anega e incomunica la provincia de Valencia</t>
  </si>
  <si>
    <t xml:space="preserve"> "de momento"</t>
  </si>
  <si>
    <t xml:space="preserve">caldo de cultivo de la desinformación y los bulos</t>
  </si>
  <si>
    <t xml:space="preserve"> "desinformación y los bulos"</t>
  </si>
  <si>
    <t xml:space="preserve">repulsa a la gestión</t>
  </si>
  <si>
    <t xml:space="preserve"> "señal de repulsa a la gestión a Mazón"</t>
  </si>
  <si>
    <t xml:space="preserve">señal de repulsa a la gestión a Mazón</t>
  </si>
  <si>
    <t xml:space="preserve">récord histórico</t>
  </si>
  <si>
    <t xml:space="preserve"> "récord histórico"</t>
  </si>
  <si>
    <t xml:space="preserve">nuevo récord histórico de lluvia</t>
  </si>
  <si>
    <t xml:space="preserve"> "deja 70 muertos de momento"</t>
  </si>
  <si>
    <t xml:space="preserve">70 muertos en Valencia de momento</t>
  </si>
  <si>
    <t xml:space="preserve">mantiene cortadas 52 carreteras</t>
  </si>
  <si>
    <t xml:space="preserve"> "mantiene cortadas 52 carreteras"</t>
  </si>
  <si>
    <t xml:space="preserve">aún mantiene cortadas</t>
  </si>
  <si>
    <t xml:space="preserve"> "sigue afectada"</t>
  </si>
  <si>
    <t xml:space="preserve"> "eleva a roja la alerta por lluvias"</t>
  </si>
  <si>
    <t xml:space="preserve">Emergencias eleva a roja la alerta por lluvias</t>
  </si>
  <si>
    <t xml:space="preserve">aumentan la destrucción</t>
  </si>
  <si>
    <t xml:space="preserve"> "daña más el barro que el agua"</t>
  </si>
  <si>
    <t xml:space="preserve">los miles de voluntarios</t>
  </si>
  <si>
    <t xml:space="preserve"> "miles de voluntarios"</t>
  </si>
  <si>
    <t xml:space="preserve">nueva alerta</t>
  </si>
  <si>
    <t xml:space="preserve"> "nueva alerta"</t>
  </si>
  <si>
    <t xml:space="preserve"> "achacar responsabilidad penal a los políticos"</t>
  </si>
  <si>
    <t xml:space="preserve"> "50 años comiendo arroz intoxicado"</t>
  </si>
  <si>
    <t xml:space="preserve">siguen buscando víctimas y desaparecidos</t>
  </si>
  <si>
    <t xml:space="preserve"> "siguen buscando"</t>
  </si>
  <si>
    <t xml:space="preserve"> "ONG se movilizan para ayudar"</t>
  </si>
  <si>
    <t xml:space="preserve">Una Dana descomunal sorprende a los valencianos</t>
  </si>
  <si>
    <t xml:space="preserve">lesiones en cimientos</t>
  </si>
  <si>
    <t xml:space="preserve"> "lesiones en cimientos"</t>
  </si>
  <si>
    <t xml:space="preserve"> "daña archivos de Hacienda, Industria y Presidencia"</t>
  </si>
  <si>
    <t xml:space="preserve">45.000 y 50.000 los voluntarios</t>
  </si>
  <si>
    <t xml:space="preserve"> "voluntarios"</t>
  </si>
  <si>
    <t xml:space="preserve">una pseudo normalidad impregnada de resignación y paciencia</t>
  </si>
  <si>
    <t xml:space="preserve"> "superó todos los protocolos"</t>
  </si>
  <si>
    <t xml:space="preserve">superó todos los protocolos</t>
  </si>
  <si>
    <t xml:space="preserve"> "admite errores y pide perdón"</t>
  </si>
  <si>
    <t xml:space="preserve">la DANA superó todos los protocolos</t>
  </si>
  <si>
    <t xml:space="preserve"> "explicaciones del president"</t>
  </si>
  <si>
    <t xml:space="preserve"> "Empresarios chinos ayudan"</t>
  </si>
  <si>
    <t>Ranking</t>
  </si>
  <si>
    <t xml:space="preserve"> "afronta la recuperación"</t>
  </si>
  <si>
    <t xml:space="preserve">continúan desaparecidas</t>
  </si>
  <si>
    <t xml:space="preserve"> "continúan desaparecidas"</t>
  </si>
  <si>
    <t xml:space="preserve">suspende las clases</t>
  </si>
  <si>
    <t xml:space="preserve">a cuatro meses de Fallas</t>
  </si>
  <si>
    <t xml:space="preserve"> "a cuatro meses de Fallas"</t>
  </si>
  <si>
    <t xml:space="preserve"> "sin saber si quedaban personas dentro"</t>
  </si>
  <si>
    <t xml:space="preserve">puede provocar tormentas destructivas</t>
  </si>
  <si>
    <t xml:space="preserve"> "puede provocar"</t>
  </si>
  <si>
    <t xml:space="preserve">se podrían producir en otras zonas</t>
  </si>
  <si>
    <t xml:space="preserve"> "se podrían producir en otras zonas"</t>
  </si>
  <si>
    <t>anunciadas</t>
  </si>
  <si>
    <t xml:space="preserve"> "atrapados en Ikea"</t>
  </si>
  <si>
    <t>atrapados</t>
  </si>
  <si>
    <t xml:space="preserve">atrapados en Ikea</t>
  </si>
  <si>
    <t xml:space="preserve">más devastadoras "más devastadoras" imágenes más devastadoras</t>
  </si>
  <si>
    <t>"catástrofe"</t>
  </si>
  <si>
    <t xml:space="preserve">sumergió pueblos enteros "Revive el pánico"</t>
  </si>
  <si>
    <t xml:space="preserve">apocalipsis de lluvia "apocalipsis de lluvia"</t>
  </si>
  <si>
    <t xml:space="preserve">el fin del mundo "Parecía el fin del mundo" Parecía el fin del mundo</t>
  </si>
  <si>
    <t xml:space="preserve">se espera una nueva a mediados de la próxima semana "se espera una nueva a mediados de la próxima semana"</t>
  </si>
  <si>
    <t xml:space="preserve">Carreteras cortadas "Carreteras cortadas"</t>
  </si>
  <si>
    <t xml:space="preserve">"centro de operaciones del Banco de Alimentos"</t>
  </si>
  <si>
    <t xml:space="preserve">"llamó a su mujer para despedirse"</t>
  </si>
  <si>
    <t xml:space="preserve">llamó a su mujer para despedirse N/A Un familiar de mi mejor amigo llamó a su mujer para despedirse</t>
  </si>
  <si>
    <t xml:space="preserve">700 l/m2 en sólo 12 horas "máximas de 700 l/m2"</t>
  </si>
  <si>
    <t>"Devastación"</t>
  </si>
  <si>
    <t xml:space="preserve">la llegada de la nueva DANA "llegada de la nueva DANA"</t>
  </si>
  <si>
    <t xml:space="preserve">"Pasa con submarino" Pasa con submarino</t>
  </si>
  <si>
    <t xml:space="preserve">metro ... totalmente inundada "boca del metro en Valencia totalmente inundada"</t>
  </si>
  <si>
    <t xml:space="preserve">crítica situación "Nos desalojaban a nosotras pero a los perros no" Nos desalojaban a nosotras pero a los perros no</t>
  </si>
  <si>
    <t xml:space="preserve">suspenden las clases "suspende las clases"</t>
  </si>
  <si>
    <t xml:space="preserve">"ante la nueva DANA"</t>
  </si>
  <si>
    <t xml:space="preserve">lentitud "Actuaron con lentitud" ¿Actuaron con lentitud los servicios de Emergencias y Protección civil valencianos?</t>
  </si>
  <si>
    <t xml:space="preserve">"poner en riesgo tu salud"</t>
  </si>
  <si>
    <t xml:space="preserve">"atrapados en la carretera"</t>
  </si>
  <si>
    <t xml:space="preserve">conductores atrapados N/A conductores atrapados en la carretera</t>
  </si>
  <si>
    <t xml:space="preserve">"epicentro de la tragedia"</t>
  </si>
  <si>
    <t xml:space="preserve">incomunicado "incomunicado" un pueblo devastado e incomunicado</t>
  </si>
  <si>
    <t xml:space="preserve">40 muertos y desaparecidos N/A</t>
  </si>
  <si>
    <t xml:space="preserve">"el más grande de Europa"</t>
  </si>
  <si>
    <t xml:space="preserve">"parking anegado"</t>
  </si>
  <si>
    <t xml:space="preserve">se teme que pueda haber numerosas víctimas N/A</t>
  </si>
  <si>
    <t xml:space="preserve">se teme que pueda haber numerosas víctimas "se teme que pueda haber numerosas víctimas"</t>
  </si>
  <si>
    <t xml:space="preserve">"En la superficie no hay más cuerpos"</t>
  </si>
  <si>
    <t xml:space="preserve">más devastadora del siglo "Apocalipsis" / "más devastadora del siglo" DANA más devastadora del siglo</t>
  </si>
  <si>
    <t xml:space="preserve">todas las alertas sobrepasadas "todas las alertas sobrepasadas"</t>
  </si>
  <si>
    <t xml:space="preserve">N/A todas las alertas sobrepasadas</t>
  </si>
  <si>
    <t xml:space="preserve">diluvio "milagro bajo el diluvio" El milagro bajo el diluvio</t>
  </si>
  <si>
    <t xml:space="preserve">las lluvias seguirán durante la semana "lluvias seguirán durante la semana"</t>
  </si>
  <si>
    <t xml:space="preserve">N/A lluvias de hasta 180 l/m2 en sólo cuatro o cinco horas</t>
  </si>
  <si>
    <t xml:space="preserve">"eleva a nivel rojo el aviso" Aemet eleva a nivel rojo el aviso en Valencia</t>
  </si>
  <si>
    <t xml:space="preserve">cúmulo de errores "cúmulo de errores" un cúmulo de errores</t>
  </si>
  <si>
    <t xml:space="preserve">"responsable de la alerta"</t>
  </si>
  <si>
    <t xml:space="preserve">Las infecciones que acechan tras la DANA "infecciones que acechan" infecciones que acechan tras la DANA</t>
  </si>
  <si>
    <t xml:space="preserve">"Nunca recuperaremos la normalidad"</t>
  </si>
  <si>
    <t xml:space="preserve">Nunca recuperaremos la normalidad N/A Desolación e incertidumbre entre los alcaldes</t>
  </si>
  <si>
    <t xml:space="preserve">Nunca recuperaremos la normalidad "Nunca recuperaremos la normalidad"</t>
  </si>
  <si>
    <t xml:space="preserve">La DANA del siglo "del siglo"</t>
  </si>
  <si>
    <t xml:space="preserve">arrasa N/A</t>
  </si>
  <si>
    <t xml:space="preserve">N/A cientos de atrapados</t>
  </si>
  <si>
    <t xml:space="preserve">inunda dos residencias de ancianos N/A</t>
  </si>
  <si>
    <t xml:space="preserve">muchas dudas sobre el transporte, el comedor o las ratios "dudas" sobre el transporte, el comedor o las ratios"</t>
  </si>
  <si>
    <t xml:space="preserve">"quedan "muchas dudas"" quedan \muchas dudas\" sobre el transporte, el comedor o las ratios"</t>
  </si>
  <si>
    <t xml:space="preserve">"alertas de la AEMET"</t>
  </si>
  <si>
    <t xml:space="preserve">"cuando el agua se ha ido"</t>
  </si>
  <si>
    <t xml:space="preserve">"zona cero" zona cero</t>
  </si>
  <si>
    <t xml:space="preserve">No sabemos si podremos volver a nuestra casa N/A</t>
  </si>
  <si>
    <t xml:space="preserve">"No sabemos si podremos volver a nuestra casa"</t>
  </si>
  <si>
    <t>"devastador"</t>
  </si>
  <si>
    <t xml:space="preserve">Cargas policiales "quema la puerta del Ayuntamiento"</t>
  </si>
  <si>
    <t xml:space="preserve">N/A La DANA tiñe de blanco algunos municipios de la provincia</t>
  </si>
  <si>
    <t xml:space="preserve">ha cambiado la historia de Valencia "ha cambiado la historia" una semana que ha cambiado la historia de Valencia</t>
  </si>
  <si>
    <t xml:space="preserve">"rescates dramáticos"</t>
  </si>
  <si>
    <t xml:space="preserve">rescates dramáticos N/A</t>
  </si>
  <si>
    <t xml:space="preserve">centenares de atrapados N/A</t>
  </si>
  <si>
    <t xml:space="preserve">N/A centenares de atrapados</t>
  </si>
  <si>
    <t xml:space="preserve">"Esto es una locura" Esto es una locura</t>
  </si>
  <si>
    <t xml:space="preserve">La catástrofe que cambió el rumbo de la ciudad "catástrofe que cambió el rumbo"</t>
  </si>
  <si>
    <t xml:space="preserve">devastación absoluta "devastación absoluta"</t>
  </si>
  <si>
    <t xml:space="preserve">Caos "Caos"</t>
  </si>
  <si>
    <t xml:space="preserve">nuevas lluvias "llegada de nuevas lluvias" nuevas lluvias \muy fuertes o torrenciales\""</t>
  </si>
  <si>
    <t xml:space="preserve">la tormenta perfecta "la tormenta perfecta"</t>
  </si>
  <si>
    <t xml:space="preserve">lo peor está por llegar "lo peor está por llegar"</t>
  </si>
  <si>
    <t xml:space="preserve">catastrófica "brutal impacto"</t>
  </si>
  <si>
    <t>"desastre"</t>
  </si>
  <si>
    <t xml:space="preserve">"suspender clases"</t>
  </si>
  <si>
    <t xml:space="preserve">La peor catástrofe meteorológica "La peor catástrofe"</t>
  </si>
  <si>
    <t xml:space="preserve">nunca habían visto "nunca habían visto" nunca habían visto desbordarse el Barranco de Barxeta tres veces en un día</t>
  </si>
  <si>
    <t xml:space="preserve">máximo de 784 litros en 24 horas "máximo de 784 litros en 24 horas"</t>
  </si>
  <si>
    <t xml:space="preserve">"ratonera mortal"</t>
  </si>
  <si>
    <t xml:space="preserve">ratonera mortal N/A</t>
  </si>
  <si>
    <t xml:space="preserve">"dos días antes los pueblos estaban evacuados"</t>
  </si>
  <si>
    <t xml:space="preserve">N/A irrumpió la DANA en Aldaya sin apenas llover</t>
  </si>
  <si>
    <t>"tragedia"</t>
  </si>
  <si>
    <t xml:space="preserve">"Cruz Roja se vuelca"</t>
  </si>
  <si>
    <t xml:space="preserve">la peor DANA del siglo "peor DANA del siglo"</t>
  </si>
  <si>
    <t xml:space="preserve">Vamos a tener lluvias abundantes con fuertes tormentas "nueva DANA"</t>
  </si>
  <si>
    <t xml:space="preserve">cargas policiales "cargas policiales"</t>
  </si>
  <si>
    <t xml:space="preserve">no se alertara antes "no se alertara antes" no se alertara antes de la DANA</t>
  </si>
  <si>
    <t xml:space="preserve">"garaje de los horrores"</t>
  </si>
  <si>
    <t xml:space="preserve">garaje de los horrores N/A bajaron a por su coche y el agua les arrasó</t>
  </si>
  <si>
    <t xml:space="preserve">Cortes de carreteras "Cortes de carreteras"</t>
  </si>
  <si>
    <t xml:space="preserve">Solo 128 de los más de 17.000 millones aprobados en ayudas han llegado "Solo 128 de los más de 17.000 millones [...] han llegado"</t>
  </si>
  <si>
    <t xml:space="preserve">"lodo de Valencia" Solo 128 de los más de 17.000 millones aprobados en ayudas han llegado ya al lodo de Valencia</t>
  </si>
  <si>
    <t xml:space="preserve">trenes cancelados, carreteras cortadas y el puerto cerrado "incomunicada" / "trenes cancelados, carreteras cortadas y el puerto cerrado" Valencia, incomunicada por la DANA: trenes cancelados, carreteras cortadas y el puerto cerrado</t>
  </si>
  <si>
    <t xml:space="preserve">rescates 'in extremis' N/A</t>
  </si>
  <si>
    <t xml:space="preserve">"avisó hasta con cinco días de antelación"</t>
  </si>
  <si>
    <t xml:space="preserve">la peor gota fría del siglo XXI "peor gota fría del siglo XXI" Es la peor gota fría del siglo XXI</t>
  </si>
  <si>
    <t xml:space="preserve">graves inundaciones N/A</t>
  </si>
  <si>
    <t xml:space="preserve">se acerca a Aragón "se acerca a Aragón"</t>
  </si>
  <si>
    <t xml:space="preserve">"podrán recuperar el dinero"</t>
  </si>
  <si>
    <t xml:space="preserve">la alerta llegó a las 20h "alerta llegó a las 20h" El primer aviso rojo de la AEMET se aplicó a las 7:30 y la alerta llegó a las 20h</t>
  </si>
  <si>
    <t xml:space="preserve">"volverán a las zonas"</t>
  </si>
  <si>
    <t xml:space="preserve">"centros de recogida de ayuda"</t>
  </si>
  <si>
    <t xml:space="preserve">"trabajo de la Cruz Roja"</t>
  </si>
  <si>
    <t xml:space="preserve">día negro en la historia de Valencia "día negro en la historia"</t>
  </si>
  <si>
    <t xml:space="preserve">"alerta de las 20:12"</t>
  </si>
  <si>
    <t>"ratonera"</t>
  </si>
  <si>
    <t xml:space="preserve">"no podemos salir"</t>
  </si>
  <si>
    <t xml:space="preserve">no podemos salir N/A Esto es una ratonera, no podemos salir</t>
  </si>
  <si>
    <t xml:space="preserve">"acude a Valencia a ayudar"</t>
  </si>
  <si>
    <t xml:space="preserve">"horas antes de recibir órdenes oficiales" horas antes de recibir órdenes oficiales</t>
  </si>
  <si>
    <t xml:space="preserve">"milagro en plena tragedia" Un milagro en plena tragedia</t>
  </si>
  <si>
    <t xml:space="preserve">tras pasar tres días en el interior de su coche N/A tres días en el interior de su coche</t>
  </si>
  <si>
    <t xml:space="preserve">más extrema del siglo "más extrema del siglo" La DANA más extrema del siglo</t>
  </si>
  <si>
    <t xml:space="preserve">puede volver a suceder el año que viene "puede volver a suceder el año que viene" Esta desgracia puede volver a suceder el año que viene</t>
  </si>
  <si>
    <t xml:space="preserve">un AVE descarriado "AVE descarriado"</t>
  </si>
  <si>
    <t xml:space="preserve">N/A se cobra la primera víctima</t>
  </si>
  <si>
    <t xml:space="preserve">les impidió realizarla "impidió realizarla" la CHJ les impidió realizarla</t>
  </si>
  <si>
    <t xml:space="preserve">"año horrible"</t>
  </si>
  <si>
    <t xml:space="preserve">sin precedentes "sin precedentes" una demanda sin precedentes</t>
  </si>
  <si>
    <t xml:space="preserve">"sustituir 128.000 vehículos"</t>
  </si>
  <si>
    <t xml:space="preserve">se espera una demanda sin precedentes "espera una demanda" ¿Cómo sustituir 128.000 vehículos afectados por la DANA?</t>
  </si>
  <si>
    <t xml:space="preserve">"Milagro" Milagro tras la DANA</t>
  </si>
  <si>
    <t xml:space="preserve">tres días atrapada en un coche N/A</t>
  </si>
  <si>
    <t xml:space="preserve">No hagan pasar a los niños por más traumas N/A</t>
  </si>
  <si>
    <t xml:space="preserve">"más traumas"</t>
  </si>
  <si>
    <t xml:space="preserve">N/A Está en peligro</t>
  </si>
  <si>
    <t xml:space="preserve">Está en peligro "Está en peligro"</t>
  </si>
  <si>
    <t xml:space="preserve">El agua nos llegaba por el cuello N/A</t>
  </si>
  <si>
    <t xml:space="preserve">El agua por el cuello N/A</t>
  </si>
  <si>
    <t xml:space="preserve">"revolución meteorológica"</t>
  </si>
  <si>
    <t xml:space="preserve">"UME fue activada el mismo martes"</t>
  </si>
  <si>
    <t xml:space="preserve">Restringen el acceso de voluntarios N/A</t>
  </si>
  <si>
    <t xml:space="preserve">"Restringen el acceso de voluntarios"</t>
  </si>
  <si>
    <t xml:space="preserve">"aviso amarillo por lluvias"</t>
  </si>
  <si>
    <t xml:space="preserve">¿Está Euskadi preparada para una DANA como la de Valencia? "preparada para una DANA"</t>
  </si>
  <si>
    <t xml:space="preserve">Es apocalíptico "Es apocalíptico"</t>
  </si>
  <si>
    <t xml:space="preserve">obliga a cerrar carreteras "cerrar carreteras"</t>
  </si>
  <si>
    <t xml:space="preserve">5 veces superior al Ebro "5 veces superior al Ebro" / "zona cero" Un caudal 5 veces superior al Ebro</t>
  </si>
  <si>
    <t xml:space="preserve">zona cero N/A</t>
  </si>
  <si>
    <t xml:space="preserve">Cuándo termina la nueva DANA "alerta roja en Málaga, Valencia y Tarragona" alerta roja en Málaga, Valencia y Tarragona</t>
  </si>
  <si>
    <t xml:space="preserve">Cien vidas segadas "Cien vidas segadas"</t>
  </si>
  <si>
    <t xml:space="preserve">55 minutos de retraso "55 minutos de retraso" 55 minutos de retraso que pudieron salvar vidas</t>
  </si>
  <si>
    <t xml:space="preserve">"caos y tragedia"</t>
  </si>
  <si>
    <t xml:space="preserve">caos "anega e incomunica" anega e incomunica la provincia de Valencia</t>
  </si>
  <si>
    <t xml:space="preserve">"de momento"</t>
  </si>
  <si>
    <t>"devastación"</t>
  </si>
  <si>
    <t xml:space="preserve">caldo de cultivo de la desinformación y los bulos "desinformación y los bulos"</t>
  </si>
  <si>
    <t xml:space="preserve">repulsa a la gestión "señal de repulsa a la gestión a Mazón" señal de repulsa a la gestión a Mazón</t>
  </si>
  <si>
    <t xml:space="preserve">récord histórico "récord histórico" nuevo récord histórico de lluvia</t>
  </si>
  <si>
    <t xml:space="preserve">"deja 70 muertos de momento" 70 muertos en Valencia de momento</t>
  </si>
  <si>
    <t xml:space="preserve">mantiene cortadas 52 carreteras "mantiene cortadas 52 carreteras"</t>
  </si>
  <si>
    <t xml:space="preserve">aún mantiene cortadas "sigue afectada"</t>
  </si>
  <si>
    <t xml:space="preserve">"eleva a roja la alerta por lluvias" Emergencias eleva a roja la alerta por lluvias</t>
  </si>
  <si>
    <t xml:space="preserve">aumentan la destrucción "daña más el barro que el agua"</t>
  </si>
  <si>
    <t xml:space="preserve">los miles de voluntarios "miles de voluntarios"</t>
  </si>
  <si>
    <t xml:space="preserve">nueva alerta "nueva alerta"</t>
  </si>
  <si>
    <t xml:space="preserve">"achacar responsabilidad penal a los políticos"</t>
  </si>
  <si>
    <t xml:space="preserve">"Catástrofe medioambiental"</t>
  </si>
  <si>
    <t xml:space="preserve">¿Vamos a estar 50 años comiendo arroz intoxicado? "50 años comiendo arroz intoxicado"</t>
  </si>
  <si>
    <t xml:space="preserve">siguen buscando víctimas y desaparecidos "siguen buscando"</t>
  </si>
  <si>
    <t xml:space="preserve">"ONG se movilizan para ayudar"</t>
  </si>
  <si>
    <t xml:space="preserve">descomunal "descomunal" Una Dana descomunal sorprende a los valencianos</t>
  </si>
  <si>
    <t xml:space="preserve">lesiones en cimientos "lesiones en cimientos"</t>
  </si>
  <si>
    <t xml:space="preserve">"daña archivos de Hacienda, Industria y Presidencia"</t>
  </si>
  <si>
    <t xml:space="preserve">45.000 y 50.000 los voluntarios "voluntarios"</t>
  </si>
  <si>
    <t xml:space="preserve">N/A una pseudo normalidad impregnada de resignación y paciencia</t>
  </si>
  <si>
    <t xml:space="preserve">"superó todos los protocolos"</t>
  </si>
  <si>
    <t xml:space="preserve">superó todos los protocolos "admite errores y pide perdón" la DANA superó todos los protocolos</t>
  </si>
  <si>
    <t xml:space="preserve">"explicaciones del president"</t>
  </si>
  <si>
    <t xml:space="preserve">"Empresarios chinos ayudan"</t>
  </si>
  <si>
    <t xml:space="preserve">Ranking N/A</t>
  </si>
  <si>
    <t xml:space="preserve">"afronta la recuperación"</t>
  </si>
  <si>
    <t xml:space="preserve">continúan desaparecidas "continúan desaparecidas"</t>
  </si>
  <si>
    <t xml:space="preserve">suspende las clases "suspende las clases"</t>
  </si>
  <si>
    <t xml:space="preserve">"nueva DANA"</t>
  </si>
  <si>
    <t xml:space="preserve">a cuatro meses de Fallas "a cuatro meses de Fallas"</t>
  </si>
  <si>
    <t xml:space="preserve">"sin saber si quedaban personas dentro" sin saber si quedaban personas dentro</t>
  </si>
  <si>
    <t xml:space="preserve">"tormentas destructivas"</t>
  </si>
  <si>
    <t xml:space="preserve">puede provocar tormentas destructivas "puede provocar"</t>
  </si>
  <si>
    <t xml:space="preserve">se podrían producir en otras zonas "se podrían producir en otras zonas"</t>
  </si>
  <si>
    <t xml:space="preserve">catástrofes anunciadas N/A</t>
  </si>
  <si>
    <t xml:space="preserve">"catástrofes anunciadas"</t>
  </si>
  <si>
    <t xml:space="preserve">anunciadas N/A</t>
  </si>
  <si>
    <t xml:space="preserve">"atrapados en Ikea"</t>
  </si>
  <si>
    <t xml:space="preserve">atrapados N/A atrapados en Ikea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</si>
</sst>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name val="Calibri"/>
      <scheme val="minor"/>
    </font>
    <font>
      <sz val="11.000000"/>
      <color rgb="FF0070C0"/>
      <name val="Calibri"/>
      <scheme val="minor"/>
    </font>
    <font>
      <sz val="11.000000"/>
      <color theme="0" tint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theme="5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3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5"/>
      </patternFill>
    </fill>
    <fill>
      <patternFill patternType="solid">
        <fgColor theme="1" tint="0"/>
        <bgColor theme="1" tint="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 style="none"/>
    </border>
    <border>
      <left style="none"/>
      <right style="none"/>
      <top style="thin">
        <color theme="9" tint="0.39997558519241921"/>
      </top>
      <bottom style="thin">
        <color theme="9" tint="0.3999755851924192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center"/>
    </xf>
    <xf fontId="0" fillId="2" borderId="0" numFmtId="0" xfId="0" applyFill="1"/>
    <xf fontId="0" fillId="2" borderId="0" numFmtId="0" xfId="0" applyFill="1" applyAlignment="1">
      <alignment wrapText="1"/>
    </xf>
    <xf fontId="0" fillId="2" borderId="0" numFmtId="0" xfId="0" applyFill="1" applyAlignment="1">
      <alignment horizontal="center" vertical="center"/>
    </xf>
    <xf fontId="0" fillId="2" borderId="0" numFmtId="0" xfId="0" applyFill="1" applyAlignment="1">
      <alignment horizontal="center"/>
    </xf>
    <xf fontId="0" fillId="2" borderId="1" numFmtId="0" xfId="0" applyFill="1" applyBorder="1" applyAlignment="1">
      <alignment wrapText="1"/>
    </xf>
    <xf fontId="0" fillId="0" borderId="2" numFmtId="0" xfId="0" applyBorder="1" applyAlignment="1">
      <alignment wrapText="1"/>
    </xf>
    <xf fontId="1" fillId="3" borderId="0" numFmtId="0" xfId="0" applyFont="1" applyFill="1"/>
    <xf fontId="1" fillId="0" borderId="2" numFmtId="0" xfId="0" applyFont="1" applyBorder="1"/>
    <xf fontId="1" fillId="4" borderId="2" numFmtId="0" xfId="0" applyFont="1" applyFill="1" applyBorder="1"/>
    <xf fontId="1" fillId="0" borderId="0" numFmtId="0" xfId="0" applyFont="1"/>
    <xf fontId="0" fillId="5" borderId="0" numFmtId="0" xfId="0" applyFill="1" applyAlignment="1">
      <alignment horizontal="center" vertical="center"/>
    </xf>
    <xf fontId="2" fillId="5" borderId="0" numFmtId="0" xfId="0" applyFont="1" applyFill="1" applyAlignment="1">
      <alignment horizontal="center" vertical="center"/>
    </xf>
    <xf fontId="2" fillId="0" borderId="0" numFmtId="0" xfId="0" applyFont="1"/>
    <xf fontId="1" fillId="6" borderId="2" numFmtId="0" xfId="0" applyFont="1" applyFill="1" applyBorder="1"/>
    <xf fontId="0" fillId="0" borderId="2" numFmtId="0" xfId="0" applyBorder="1"/>
    <xf fontId="2" fillId="0" borderId="2" numFmtId="0" xfId="0" applyFont="1" applyBorder="1"/>
    <xf fontId="0" fillId="0" borderId="0" numFmtId="0" xfId="0" applyAlignment="1">
      <alignment horizontal="center" wrapText="1"/>
    </xf>
    <xf fontId="0" fillId="5" borderId="0" numFmtId="0" xfId="0" applyFill="1" applyAlignment="1">
      <alignment horizontal="center" vertical="center" wrapText="1"/>
    </xf>
    <xf fontId="1" fillId="0" borderId="0" numFmtId="0" xfId="0" applyFont="1" applyAlignment="1">
      <alignment wrapText="1"/>
    </xf>
    <xf fontId="1" fillId="7" borderId="0" numFmtId="0" xfId="0" applyFont="1" applyFill="1" applyAlignment="1">
      <alignment wrapText="1"/>
    </xf>
    <xf fontId="3" fillId="0" borderId="0" numFmtId="0" xfId="0" applyFont="1"/>
    <xf fontId="1" fillId="7" borderId="0" numFmtId="0" xfId="0" applyFont="1" applyFill="1"/>
    <xf fontId="2" fillId="0" borderId="0" numFmtId="0" xfId="0" applyFont="1" applyAlignment="1">
      <alignment wrapText="1"/>
    </xf>
    <xf fontId="0" fillId="8" borderId="0" numFmtId="0" xfId="0" applyFill="1" applyAlignment="1">
      <alignment horizontal="center"/>
    </xf>
    <xf fontId="0" fillId="8" borderId="0" numFmtId="0" xfId="0" applyFill="1" applyAlignment="1">
      <alignment horizontal="center" wrapText="1"/>
    </xf>
    <xf fontId="4" fillId="8" borderId="0" numFmtId="0" xfId="0" applyFont="1" applyFill="1" applyAlignment="1">
      <alignment horizontal="center" wrapText="1"/>
    </xf>
    <xf fontId="0" fillId="0" borderId="3" numFmtId="0" xfId="0" applyBorder="1" applyAlignment="1">
      <alignment horizontal="center"/>
    </xf>
    <xf fontId="0" fillId="0" borderId="3" numFmtId="0" xfId="0" applyBorder="1" applyAlignment="1">
      <alignment horizontal="center" wrapText="1"/>
    </xf>
    <xf fontId="2" fillId="0" borderId="3" numFmt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$A$1:$F$201">
  <autoFilter ref="$A$1:$F$201"/>
  <tableColumns count="6">
    <tableColumn id="1" name="ID"/>
    <tableColumn id="2" name="Titular"/>
    <tableColumn id="3" name="V1_LLM_Evidencia"/>
    <tableColumn id="4" name="V2_LLM_Evid"/>
    <tableColumn id="5" name="V3_LLM_Evid"/>
    <tableColumn id="6" name="V4_LLM_Evidencia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5" workbookViewId="0">
      <selection activeCell="A2" activeCellId="0" sqref="A2"/>
    </sheetView>
  </sheetViews>
  <sheetFormatPr defaultColWidth="8.7109375" defaultRowHeight="14.449999999999999"/>
  <cols>
    <col customWidth="1" min="2" max="2" style="1" width="96.140625"/>
    <col customWidth="1" min="3" max="4" width="12.140625"/>
    <col customWidth="1" min="5" max="5" width="12.42578125"/>
    <col customWidth="1" min="6" max="7" width="16.85546875"/>
    <col customWidth="1" min="8" max="10" width="21.28515625"/>
    <col customWidth="1" min="11" max="11" width="17.85546875"/>
    <col min="12" max="12" width="13.7109375"/>
    <col customWidth="1" min="13" max="13" style="2" width="51.42578125"/>
    <col customWidth="1" min="14" max="14" style="1" width="30.7109375"/>
    <col customWidth="1" min="15" max="15" style="2" width="51.42578125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7" t="s">
        <v>13</v>
      </c>
      <c r="O1" s="6" t="s">
        <v>14</v>
      </c>
    </row>
    <row r="2" ht="30" customHeight="1">
      <c r="A2">
        <v>60</v>
      </c>
      <c r="B2" s="8" t="s">
        <v>15</v>
      </c>
      <c r="C2">
        <v>0</v>
      </c>
      <c r="D2">
        <v>1</v>
      </c>
      <c r="E2">
        <v>1</v>
      </c>
      <c r="F2" s="9">
        <f t="shared" ref="F2:F9" si="0">IF(SUM(C2,D2,E2)&gt;=2,1,0)</f>
        <v>1</v>
      </c>
      <c r="G2" s="9">
        <f t="shared" ref="G2:G9" si="1">SUM(C2:D2,E2)</f>
        <v>2</v>
      </c>
      <c r="H2" s="9">
        <f t="shared" ref="H2:H9" si="2">SUM(C2:D2)</f>
        <v>1</v>
      </c>
      <c r="I2" s="9">
        <f t="shared" ref="I2:I9" si="3">C2+E2</f>
        <v>1</v>
      </c>
      <c r="J2" s="9">
        <f t="shared" ref="J2:J9" si="4">D2+E2</f>
        <v>2</v>
      </c>
      <c r="K2" s="9">
        <v>1</v>
      </c>
      <c r="L2" s="9">
        <v>1</v>
      </c>
      <c r="M2" s="2" t="s">
        <v>16</v>
      </c>
      <c r="N2" s="2" t="s">
        <v>17</v>
      </c>
      <c r="O2" s="2" t="s">
        <v>18</v>
      </c>
    </row>
    <row r="3" ht="30" customHeight="1">
      <c r="A3">
        <v>67</v>
      </c>
      <c r="B3" s="8" t="s">
        <v>19</v>
      </c>
      <c r="C3">
        <v>0</v>
      </c>
      <c r="D3">
        <v>1</v>
      </c>
      <c r="E3">
        <v>0</v>
      </c>
      <c r="F3" s="9">
        <f t="shared" si="0"/>
        <v>0</v>
      </c>
      <c r="G3" s="9">
        <f t="shared" si="1"/>
        <v>1</v>
      </c>
      <c r="H3" s="9">
        <f t="shared" si="2"/>
        <v>1</v>
      </c>
      <c r="I3" s="9">
        <f t="shared" si="3"/>
        <v>0</v>
      </c>
      <c r="J3" s="9">
        <f t="shared" si="4"/>
        <v>1</v>
      </c>
      <c r="K3" s="9">
        <v>0</v>
      </c>
      <c r="L3" s="9">
        <v>0</v>
      </c>
      <c r="M3" s="2" t="s">
        <v>16</v>
      </c>
      <c r="N3" s="2" t="s">
        <v>20</v>
      </c>
      <c r="O3" s="2" t="s">
        <v>16</v>
      </c>
    </row>
    <row r="4" ht="30" customHeight="1">
      <c r="A4">
        <v>69</v>
      </c>
      <c r="B4" s="8" t="s">
        <v>21</v>
      </c>
      <c r="C4">
        <v>0</v>
      </c>
      <c r="D4">
        <v>1</v>
      </c>
      <c r="E4">
        <v>1</v>
      </c>
      <c r="F4" s="9">
        <f t="shared" si="0"/>
        <v>1</v>
      </c>
      <c r="G4" s="9">
        <f t="shared" si="1"/>
        <v>2</v>
      </c>
      <c r="H4" s="9">
        <f t="shared" si="2"/>
        <v>1</v>
      </c>
      <c r="I4" s="9">
        <f t="shared" si="3"/>
        <v>1</v>
      </c>
      <c r="J4" s="9">
        <f t="shared" si="4"/>
        <v>2</v>
      </c>
      <c r="K4" s="9">
        <v>1</v>
      </c>
      <c r="L4" s="9">
        <v>1</v>
      </c>
      <c r="M4" s="2" t="s">
        <v>16</v>
      </c>
      <c r="N4" s="2" t="s">
        <v>22</v>
      </c>
      <c r="O4" s="2" t="s">
        <v>23</v>
      </c>
    </row>
    <row r="5" ht="30" customHeight="1">
      <c r="A5">
        <v>72</v>
      </c>
      <c r="B5" s="8" t="s">
        <v>24</v>
      </c>
      <c r="C5">
        <v>0</v>
      </c>
      <c r="D5">
        <v>1</v>
      </c>
      <c r="E5">
        <v>1</v>
      </c>
      <c r="F5" s="9">
        <f t="shared" si="0"/>
        <v>1</v>
      </c>
      <c r="G5" s="9">
        <f t="shared" si="1"/>
        <v>2</v>
      </c>
      <c r="H5" s="9">
        <f t="shared" si="2"/>
        <v>1</v>
      </c>
      <c r="I5" s="9">
        <f t="shared" si="3"/>
        <v>1</v>
      </c>
      <c r="J5" s="9">
        <f t="shared" si="4"/>
        <v>2</v>
      </c>
      <c r="K5" s="9">
        <v>1</v>
      </c>
      <c r="L5" s="9">
        <v>1</v>
      </c>
      <c r="M5" s="2" t="s">
        <v>16</v>
      </c>
      <c r="N5" s="2" t="s">
        <v>25</v>
      </c>
      <c r="O5" s="2" t="s">
        <v>26</v>
      </c>
    </row>
    <row r="6" ht="30" customHeight="1">
      <c r="A6">
        <v>86</v>
      </c>
      <c r="B6" s="8" t="s">
        <v>27</v>
      </c>
      <c r="C6">
        <v>1</v>
      </c>
      <c r="D6">
        <v>1</v>
      </c>
      <c r="E6">
        <v>1</v>
      </c>
      <c r="F6" s="9">
        <f t="shared" si="0"/>
        <v>1</v>
      </c>
      <c r="G6" s="9">
        <f t="shared" si="1"/>
        <v>3</v>
      </c>
      <c r="H6" s="9">
        <f t="shared" si="2"/>
        <v>2</v>
      </c>
      <c r="I6" s="9">
        <f t="shared" si="3"/>
        <v>2</v>
      </c>
      <c r="J6" s="9">
        <f t="shared" si="4"/>
        <v>2</v>
      </c>
      <c r="K6" s="9">
        <v>1</v>
      </c>
      <c r="L6" s="9">
        <v>1</v>
      </c>
      <c r="M6" s="2" t="s">
        <v>28</v>
      </c>
      <c r="N6" s="2" t="s">
        <v>29</v>
      </c>
      <c r="O6" s="2" t="s">
        <v>30</v>
      </c>
    </row>
    <row r="7" ht="30" customHeight="1">
      <c r="A7">
        <v>99</v>
      </c>
      <c r="B7" s="8" t="s">
        <v>31</v>
      </c>
      <c r="C7">
        <v>0</v>
      </c>
      <c r="D7">
        <v>0</v>
      </c>
      <c r="E7">
        <v>0</v>
      </c>
      <c r="F7" s="9">
        <f t="shared" si="0"/>
        <v>0</v>
      </c>
      <c r="G7" s="9">
        <f t="shared" si="1"/>
        <v>0</v>
      </c>
      <c r="H7" s="9">
        <f t="shared" si="2"/>
        <v>0</v>
      </c>
      <c r="I7" s="9">
        <f t="shared" si="3"/>
        <v>0</v>
      </c>
      <c r="J7" s="9">
        <f t="shared" si="4"/>
        <v>0</v>
      </c>
      <c r="K7" s="9">
        <v>1</v>
      </c>
      <c r="L7" s="9">
        <v>1</v>
      </c>
      <c r="M7" s="2" t="s">
        <v>16</v>
      </c>
      <c r="N7" s="2" t="s">
        <v>32</v>
      </c>
      <c r="O7" s="2" t="s">
        <v>16</v>
      </c>
    </row>
    <row r="8" ht="30" customHeight="1">
      <c r="A8">
        <v>107</v>
      </c>
      <c r="B8" s="8" t="s">
        <v>33</v>
      </c>
      <c r="C8">
        <v>1</v>
      </c>
      <c r="D8">
        <v>0</v>
      </c>
      <c r="E8">
        <v>0</v>
      </c>
      <c r="F8" s="9">
        <f t="shared" si="0"/>
        <v>0</v>
      </c>
      <c r="G8" s="9">
        <f t="shared" si="1"/>
        <v>1</v>
      </c>
      <c r="H8" s="9">
        <f t="shared" si="2"/>
        <v>1</v>
      </c>
      <c r="I8" s="9">
        <f t="shared" si="3"/>
        <v>1</v>
      </c>
      <c r="J8" s="9">
        <f t="shared" si="4"/>
        <v>0</v>
      </c>
      <c r="K8" s="9">
        <v>0</v>
      </c>
      <c r="L8" s="9">
        <v>0</v>
      </c>
      <c r="M8" s="2" t="s">
        <v>34</v>
      </c>
      <c r="N8" s="2" t="s">
        <v>32</v>
      </c>
      <c r="O8" s="2" t="s">
        <v>16</v>
      </c>
    </row>
    <row r="9" ht="30" customHeight="1">
      <c r="A9">
        <v>110</v>
      </c>
      <c r="B9" s="8" t="s">
        <v>35</v>
      </c>
      <c r="C9">
        <v>0</v>
      </c>
      <c r="D9">
        <v>0</v>
      </c>
      <c r="E9">
        <v>0</v>
      </c>
      <c r="F9" s="9">
        <f t="shared" si="0"/>
        <v>0</v>
      </c>
      <c r="G9" s="9">
        <f t="shared" si="1"/>
        <v>0</v>
      </c>
      <c r="H9" s="9">
        <f t="shared" si="2"/>
        <v>0</v>
      </c>
      <c r="I9" s="9">
        <f t="shared" si="3"/>
        <v>0</v>
      </c>
      <c r="J9" s="9">
        <f t="shared" si="4"/>
        <v>0</v>
      </c>
      <c r="K9" s="9">
        <v>1</v>
      </c>
      <c r="L9" s="9">
        <v>1</v>
      </c>
      <c r="M9" s="2" t="s">
        <v>16</v>
      </c>
      <c r="N9" s="2" t="s">
        <v>32</v>
      </c>
      <c r="O9" s="2" t="s">
        <v>16</v>
      </c>
    </row>
    <row r="10" ht="30" customHeight="1">
      <c r="A10">
        <v>111</v>
      </c>
      <c r="B10" s="8" t="s">
        <v>36</v>
      </c>
      <c r="C10">
        <v>0</v>
      </c>
      <c r="D10">
        <v>1</v>
      </c>
      <c r="E10">
        <v>0</v>
      </c>
      <c r="F10" s="9">
        <f t="shared" ref="F10:F73" si="5">IF(SUM(C10,D10,E10)&gt;=2,1,0)</f>
        <v>0</v>
      </c>
      <c r="G10" s="9">
        <f t="shared" ref="G10:G73" si="6">SUM(C10:D10,E10)</f>
        <v>1</v>
      </c>
      <c r="H10" s="9">
        <f t="shared" ref="H10:H73" si="7">SUM(C10:D10)</f>
        <v>1</v>
      </c>
      <c r="I10" s="9">
        <f t="shared" ref="I10:I73" si="8">C10+E10</f>
        <v>0</v>
      </c>
      <c r="J10" s="9">
        <f t="shared" ref="J10:J73" si="9">D10+E10</f>
        <v>1</v>
      </c>
      <c r="K10" s="9">
        <v>0</v>
      </c>
      <c r="L10" s="9">
        <v>0</v>
      </c>
      <c r="M10" s="2" t="s">
        <v>16</v>
      </c>
      <c r="N10" s="2" t="s">
        <v>37</v>
      </c>
      <c r="O10" s="2" t="s">
        <v>16</v>
      </c>
    </row>
    <row r="11" ht="30" customHeight="1">
      <c r="A11">
        <v>121</v>
      </c>
      <c r="B11" s="8" t="s">
        <v>38</v>
      </c>
      <c r="C11">
        <v>0</v>
      </c>
      <c r="D11">
        <v>0</v>
      </c>
      <c r="E11">
        <v>0</v>
      </c>
      <c r="F11" s="9">
        <f t="shared" si="5"/>
        <v>0</v>
      </c>
      <c r="G11" s="9">
        <f t="shared" si="6"/>
        <v>0</v>
      </c>
      <c r="H11" s="9">
        <f t="shared" si="7"/>
        <v>0</v>
      </c>
      <c r="I11" s="9">
        <f t="shared" si="8"/>
        <v>0</v>
      </c>
      <c r="J11" s="9">
        <f t="shared" si="9"/>
        <v>0</v>
      </c>
      <c r="K11" s="9">
        <v>0</v>
      </c>
      <c r="L11" s="9">
        <v>0</v>
      </c>
      <c r="M11" s="2" t="s">
        <v>16</v>
      </c>
      <c r="N11" s="2" t="s">
        <v>32</v>
      </c>
      <c r="O11" s="2" t="s">
        <v>16</v>
      </c>
    </row>
    <row r="12" ht="30" customHeight="1">
      <c r="A12">
        <v>127</v>
      </c>
      <c r="B12" s="8" t="s">
        <v>39</v>
      </c>
      <c r="C12">
        <v>0</v>
      </c>
      <c r="D12">
        <v>0</v>
      </c>
      <c r="E12">
        <v>0</v>
      </c>
      <c r="F12" s="9">
        <f t="shared" si="5"/>
        <v>0</v>
      </c>
      <c r="G12" s="9">
        <f t="shared" si="6"/>
        <v>0</v>
      </c>
      <c r="H12" s="9">
        <f t="shared" si="7"/>
        <v>0</v>
      </c>
      <c r="I12" s="9">
        <f t="shared" si="8"/>
        <v>0</v>
      </c>
      <c r="J12" s="9">
        <f t="shared" si="9"/>
        <v>0</v>
      </c>
      <c r="K12" s="9">
        <v>0</v>
      </c>
      <c r="L12" s="9">
        <v>0</v>
      </c>
      <c r="M12" s="2" t="s">
        <v>16</v>
      </c>
      <c r="N12" s="2" t="s">
        <v>32</v>
      </c>
      <c r="O12" s="2" t="s">
        <v>16</v>
      </c>
    </row>
    <row r="13" ht="30" customHeight="1">
      <c r="A13">
        <v>129</v>
      </c>
      <c r="B13" s="8" t="s">
        <v>40</v>
      </c>
      <c r="C13">
        <v>0</v>
      </c>
      <c r="D13">
        <v>0</v>
      </c>
      <c r="E13">
        <v>0</v>
      </c>
      <c r="F13" s="9">
        <f t="shared" si="5"/>
        <v>0</v>
      </c>
      <c r="G13" s="9">
        <f t="shared" si="6"/>
        <v>0</v>
      </c>
      <c r="H13" s="9">
        <f t="shared" si="7"/>
        <v>0</v>
      </c>
      <c r="I13" s="9">
        <f t="shared" si="8"/>
        <v>0</v>
      </c>
      <c r="J13" s="9">
        <f t="shared" si="9"/>
        <v>0</v>
      </c>
      <c r="K13" s="9">
        <v>0</v>
      </c>
      <c r="L13" s="9">
        <v>0</v>
      </c>
      <c r="M13" s="2" t="s">
        <v>16</v>
      </c>
      <c r="N13" s="2" t="s">
        <v>32</v>
      </c>
      <c r="O13" s="2" t="s">
        <v>16</v>
      </c>
    </row>
    <row r="14" ht="30" customHeight="1">
      <c r="A14">
        <v>133</v>
      </c>
      <c r="B14" s="8" t="s">
        <v>41</v>
      </c>
      <c r="C14">
        <v>1</v>
      </c>
      <c r="D14">
        <v>1</v>
      </c>
      <c r="E14">
        <v>1</v>
      </c>
      <c r="F14" s="9">
        <f t="shared" si="5"/>
        <v>1</v>
      </c>
      <c r="G14" s="9">
        <f t="shared" si="6"/>
        <v>3</v>
      </c>
      <c r="H14" s="9">
        <f t="shared" si="7"/>
        <v>2</v>
      </c>
      <c r="I14" s="9">
        <f t="shared" si="8"/>
        <v>2</v>
      </c>
      <c r="J14" s="9">
        <f t="shared" si="9"/>
        <v>2</v>
      </c>
      <c r="K14" s="9">
        <v>1</v>
      </c>
      <c r="L14" s="9">
        <v>1</v>
      </c>
      <c r="M14" s="2" t="s">
        <v>42</v>
      </c>
      <c r="N14" s="2" t="s">
        <v>43</v>
      </c>
      <c r="O14" s="2" t="s">
        <v>44</v>
      </c>
    </row>
    <row r="15" ht="30" customHeight="1">
      <c r="A15">
        <v>135</v>
      </c>
      <c r="B15" s="8" t="s">
        <v>45</v>
      </c>
      <c r="C15">
        <v>0</v>
      </c>
      <c r="D15">
        <v>1</v>
      </c>
      <c r="E15">
        <v>0</v>
      </c>
      <c r="F15" s="9">
        <f t="shared" si="5"/>
        <v>0</v>
      </c>
      <c r="G15" s="9">
        <f t="shared" si="6"/>
        <v>1</v>
      </c>
      <c r="H15" s="9">
        <f t="shared" si="7"/>
        <v>1</v>
      </c>
      <c r="I15" s="9">
        <f t="shared" si="8"/>
        <v>0</v>
      </c>
      <c r="J15" s="9">
        <f t="shared" si="9"/>
        <v>1</v>
      </c>
      <c r="K15" s="9">
        <v>0</v>
      </c>
      <c r="L15" s="9">
        <v>0</v>
      </c>
      <c r="M15" s="2" t="s">
        <v>16</v>
      </c>
      <c r="N15" s="2" t="s">
        <v>46</v>
      </c>
      <c r="O15" s="2" t="s">
        <v>16</v>
      </c>
    </row>
    <row r="16" ht="30" customHeight="1">
      <c r="A16">
        <v>146</v>
      </c>
      <c r="B16" s="8" t="s">
        <v>47</v>
      </c>
      <c r="C16">
        <v>0</v>
      </c>
      <c r="D16">
        <v>1</v>
      </c>
      <c r="E16">
        <v>0</v>
      </c>
      <c r="F16" s="9">
        <f t="shared" si="5"/>
        <v>0</v>
      </c>
      <c r="G16" s="9">
        <f t="shared" si="6"/>
        <v>1</v>
      </c>
      <c r="H16" s="9">
        <f t="shared" si="7"/>
        <v>1</v>
      </c>
      <c r="I16" s="9">
        <f t="shared" si="8"/>
        <v>0</v>
      </c>
      <c r="J16" s="9">
        <f t="shared" si="9"/>
        <v>1</v>
      </c>
      <c r="K16" s="9">
        <v>0</v>
      </c>
      <c r="L16" s="9">
        <v>0</v>
      </c>
      <c r="M16" s="2" t="s">
        <v>16</v>
      </c>
      <c r="N16" s="2" t="s">
        <v>48</v>
      </c>
      <c r="O16" s="2" t="s">
        <v>16</v>
      </c>
    </row>
    <row r="17" ht="30" customHeight="1">
      <c r="A17">
        <v>152</v>
      </c>
      <c r="B17" s="8" t="s">
        <v>49</v>
      </c>
      <c r="C17">
        <v>1</v>
      </c>
      <c r="D17">
        <v>0</v>
      </c>
      <c r="E17">
        <v>0</v>
      </c>
      <c r="F17" s="9">
        <f t="shared" si="5"/>
        <v>0</v>
      </c>
      <c r="G17" s="9">
        <f t="shared" si="6"/>
        <v>1</v>
      </c>
      <c r="H17" s="9">
        <f t="shared" si="7"/>
        <v>1</v>
      </c>
      <c r="I17" s="9">
        <f t="shared" si="8"/>
        <v>1</v>
      </c>
      <c r="J17" s="9">
        <f t="shared" si="9"/>
        <v>0</v>
      </c>
      <c r="K17" s="9">
        <v>1</v>
      </c>
      <c r="L17" s="9">
        <v>1</v>
      </c>
      <c r="M17" s="2" t="s">
        <v>50</v>
      </c>
      <c r="N17" s="2" t="s">
        <v>32</v>
      </c>
      <c r="O17" s="2" t="s">
        <v>16</v>
      </c>
    </row>
    <row r="18" ht="30" customHeight="1">
      <c r="A18">
        <v>165</v>
      </c>
      <c r="B18" s="8" t="s">
        <v>51</v>
      </c>
      <c r="C18">
        <v>1</v>
      </c>
      <c r="D18">
        <v>1</v>
      </c>
      <c r="E18">
        <v>1</v>
      </c>
      <c r="F18" s="9">
        <f t="shared" si="5"/>
        <v>1</v>
      </c>
      <c r="G18" s="9">
        <f t="shared" si="6"/>
        <v>3</v>
      </c>
      <c r="H18" s="9">
        <f t="shared" si="7"/>
        <v>2</v>
      </c>
      <c r="I18" s="9">
        <f t="shared" si="8"/>
        <v>2</v>
      </c>
      <c r="J18" s="9">
        <f t="shared" si="9"/>
        <v>2</v>
      </c>
      <c r="K18" s="9">
        <v>0</v>
      </c>
      <c r="L18" s="9">
        <v>0</v>
      </c>
      <c r="M18" s="2" t="s">
        <v>52</v>
      </c>
      <c r="N18" s="2" t="s">
        <v>53</v>
      </c>
      <c r="O18" s="2" t="s">
        <v>52</v>
      </c>
    </row>
    <row r="19" ht="30" customHeight="1">
      <c r="A19">
        <v>166</v>
      </c>
      <c r="B19" s="8" t="s">
        <v>54</v>
      </c>
      <c r="C19">
        <v>0</v>
      </c>
      <c r="D19">
        <v>0</v>
      </c>
      <c r="E19">
        <v>0</v>
      </c>
      <c r="F19" s="9">
        <f t="shared" si="5"/>
        <v>0</v>
      </c>
      <c r="G19" s="9">
        <f t="shared" si="6"/>
        <v>0</v>
      </c>
      <c r="H19" s="9">
        <f t="shared" si="7"/>
        <v>0</v>
      </c>
      <c r="I19" s="9">
        <f t="shared" si="8"/>
        <v>0</v>
      </c>
      <c r="J19" s="9">
        <f t="shared" si="9"/>
        <v>0</v>
      </c>
      <c r="K19" s="9">
        <v>1</v>
      </c>
      <c r="L19" s="9">
        <v>1</v>
      </c>
      <c r="M19" s="2" t="s">
        <v>16</v>
      </c>
      <c r="N19" s="2" t="s">
        <v>32</v>
      </c>
      <c r="O19" s="2" t="s">
        <v>16</v>
      </c>
    </row>
    <row r="20" ht="30" customHeight="1">
      <c r="A20">
        <v>167</v>
      </c>
      <c r="B20" s="8" t="s">
        <v>55</v>
      </c>
      <c r="C20">
        <v>1</v>
      </c>
      <c r="D20">
        <v>1</v>
      </c>
      <c r="E20">
        <v>1</v>
      </c>
      <c r="F20" s="9">
        <f t="shared" si="5"/>
        <v>1</v>
      </c>
      <c r="G20" s="9">
        <f t="shared" si="6"/>
        <v>3</v>
      </c>
      <c r="H20" s="9">
        <f t="shared" si="7"/>
        <v>2</v>
      </c>
      <c r="I20" s="9">
        <f t="shared" si="8"/>
        <v>2</v>
      </c>
      <c r="J20" s="9">
        <f t="shared" si="9"/>
        <v>2</v>
      </c>
      <c r="K20" s="9">
        <v>1</v>
      </c>
      <c r="L20" s="9">
        <v>1</v>
      </c>
      <c r="M20" s="2" t="s">
        <v>56</v>
      </c>
      <c r="N20" s="2" t="s">
        <v>57</v>
      </c>
      <c r="O20" s="2" t="s">
        <v>58</v>
      </c>
    </row>
    <row r="21" ht="30" customHeight="1">
      <c r="A21">
        <v>173</v>
      </c>
      <c r="B21" s="8" t="s">
        <v>59</v>
      </c>
      <c r="C21">
        <v>0</v>
      </c>
      <c r="D21">
        <v>1</v>
      </c>
      <c r="E21">
        <v>0</v>
      </c>
      <c r="F21" s="9">
        <f t="shared" si="5"/>
        <v>0</v>
      </c>
      <c r="G21" s="9">
        <f t="shared" si="6"/>
        <v>1</v>
      </c>
      <c r="H21" s="9">
        <f t="shared" si="7"/>
        <v>1</v>
      </c>
      <c r="I21" s="9">
        <f t="shared" si="8"/>
        <v>0</v>
      </c>
      <c r="J21" s="9">
        <f t="shared" si="9"/>
        <v>1</v>
      </c>
      <c r="K21" s="9">
        <v>1</v>
      </c>
      <c r="L21" s="9">
        <v>1</v>
      </c>
      <c r="M21" s="2" t="s">
        <v>16</v>
      </c>
      <c r="N21" s="2" t="s">
        <v>60</v>
      </c>
      <c r="O21" s="2" t="s">
        <v>16</v>
      </c>
    </row>
    <row r="22" ht="30" customHeight="1">
      <c r="A22">
        <v>176</v>
      </c>
      <c r="B22" s="8" t="s">
        <v>61</v>
      </c>
      <c r="C22">
        <v>1</v>
      </c>
      <c r="D22">
        <v>0</v>
      </c>
      <c r="E22">
        <v>0</v>
      </c>
      <c r="F22" s="9">
        <f t="shared" si="5"/>
        <v>0</v>
      </c>
      <c r="G22" s="9">
        <f t="shared" si="6"/>
        <v>1</v>
      </c>
      <c r="H22" s="9">
        <f t="shared" si="7"/>
        <v>1</v>
      </c>
      <c r="I22" s="9">
        <f t="shared" si="8"/>
        <v>1</v>
      </c>
      <c r="J22" s="9">
        <f t="shared" si="9"/>
        <v>0</v>
      </c>
      <c r="K22" s="9">
        <v>1</v>
      </c>
      <c r="L22" s="9">
        <v>1</v>
      </c>
      <c r="M22" s="2" t="s">
        <v>62</v>
      </c>
      <c r="N22" s="2" t="s">
        <v>32</v>
      </c>
      <c r="O22" s="2" t="s">
        <v>16</v>
      </c>
    </row>
    <row r="23" ht="30" customHeight="1">
      <c r="A23">
        <v>180</v>
      </c>
      <c r="B23" s="8" t="s">
        <v>63</v>
      </c>
      <c r="C23">
        <v>0</v>
      </c>
      <c r="D23">
        <v>0</v>
      </c>
      <c r="E23">
        <v>0</v>
      </c>
      <c r="F23" s="9">
        <f t="shared" si="5"/>
        <v>0</v>
      </c>
      <c r="G23" s="9">
        <f t="shared" si="6"/>
        <v>0</v>
      </c>
      <c r="H23" s="9">
        <f t="shared" si="7"/>
        <v>0</v>
      </c>
      <c r="I23" s="9">
        <f t="shared" si="8"/>
        <v>0</v>
      </c>
      <c r="J23" s="9">
        <f t="shared" si="9"/>
        <v>0</v>
      </c>
      <c r="K23" s="9">
        <v>1</v>
      </c>
      <c r="L23" s="9">
        <v>1</v>
      </c>
      <c r="M23" s="2" t="s">
        <v>16</v>
      </c>
      <c r="N23" s="2" t="s">
        <v>32</v>
      </c>
      <c r="O23" s="2" t="s">
        <v>16</v>
      </c>
    </row>
    <row r="24" ht="30" customHeight="1">
      <c r="A24">
        <v>181</v>
      </c>
      <c r="B24" s="8" t="s">
        <v>64</v>
      </c>
      <c r="C24">
        <v>0</v>
      </c>
      <c r="D24">
        <v>0</v>
      </c>
      <c r="E24">
        <v>0</v>
      </c>
      <c r="F24" s="9">
        <f t="shared" si="5"/>
        <v>0</v>
      </c>
      <c r="G24" s="9">
        <f t="shared" si="6"/>
        <v>0</v>
      </c>
      <c r="H24" s="9">
        <f t="shared" si="7"/>
        <v>0</v>
      </c>
      <c r="I24" s="9">
        <f t="shared" si="8"/>
        <v>0</v>
      </c>
      <c r="J24" s="9">
        <f t="shared" si="9"/>
        <v>0</v>
      </c>
      <c r="K24" s="9">
        <v>0</v>
      </c>
      <c r="L24" s="9">
        <v>0</v>
      </c>
      <c r="M24" s="2" t="s">
        <v>16</v>
      </c>
      <c r="N24" s="2" t="s">
        <v>32</v>
      </c>
      <c r="O24" s="2" t="s">
        <v>16</v>
      </c>
    </row>
    <row r="25" ht="30" customHeight="1">
      <c r="A25">
        <v>186</v>
      </c>
      <c r="B25" s="8" t="s">
        <v>65</v>
      </c>
      <c r="C25">
        <v>0</v>
      </c>
      <c r="D25">
        <v>1</v>
      </c>
      <c r="E25">
        <v>1</v>
      </c>
      <c r="F25" s="9">
        <f t="shared" si="5"/>
        <v>1</v>
      </c>
      <c r="G25" s="9">
        <f t="shared" si="6"/>
        <v>2</v>
      </c>
      <c r="H25" s="9">
        <f t="shared" si="7"/>
        <v>1</v>
      </c>
      <c r="I25" s="9">
        <f t="shared" si="8"/>
        <v>1</v>
      </c>
      <c r="J25" s="9">
        <f t="shared" si="9"/>
        <v>2</v>
      </c>
      <c r="K25" s="9">
        <v>1</v>
      </c>
      <c r="L25" s="9">
        <v>1</v>
      </c>
      <c r="M25" s="2" t="s">
        <v>16</v>
      </c>
      <c r="N25" s="2" t="s">
        <v>66</v>
      </c>
      <c r="O25" s="2" t="s">
        <v>67</v>
      </c>
    </row>
    <row r="26" ht="30" customHeight="1">
      <c r="A26">
        <v>187</v>
      </c>
      <c r="B26" s="8" t="s">
        <v>68</v>
      </c>
      <c r="C26">
        <v>0</v>
      </c>
      <c r="D26">
        <v>0</v>
      </c>
      <c r="E26">
        <v>0</v>
      </c>
      <c r="F26" s="9">
        <f t="shared" si="5"/>
        <v>0</v>
      </c>
      <c r="G26" s="9">
        <f t="shared" si="6"/>
        <v>0</v>
      </c>
      <c r="H26" s="9">
        <f t="shared" si="7"/>
        <v>0</v>
      </c>
      <c r="I26" s="9">
        <f t="shared" si="8"/>
        <v>0</v>
      </c>
      <c r="J26" s="9">
        <f t="shared" si="9"/>
        <v>0</v>
      </c>
      <c r="K26" s="9">
        <v>0</v>
      </c>
      <c r="L26" s="9">
        <v>0</v>
      </c>
      <c r="M26" s="2" t="s">
        <v>16</v>
      </c>
      <c r="N26" s="2" t="s">
        <v>32</v>
      </c>
      <c r="O26" s="2" t="s">
        <v>16</v>
      </c>
    </row>
    <row r="27" ht="30" customHeight="1">
      <c r="A27">
        <v>195</v>
      </c>
      <c r="B27" s="8" t="s">
        <v>69</v>
      </c>
      <c r="C27">
        <v>0</v>
      </c>
      <c r="D27">
        <v>0</v>
      </c>
      <c r="E27">
        <v>0</v>
      </c>
      <c r="F27" s="9">
        <f t="shared" si="5"/>
        <v>0</v>
      </c>
      <c r="G27" s="9">
        <f t="shared" si="6"/>
        <v>0</v>
      </c>
      <c r="H27" s="9">
        <f t="shared" si="7"/>
        <v>0</v>
      </c>
      <c r="I27" s="9">
        <f t="shared" si="8"/>
        <v>0</v>
      </c>
      <c r="J27" s="9">
        <f t="shared" si="9"/>
        <v>0</v>
      </c>
      <c r="K27" s="9">
        <v>0</v>
      </c>
      <c r="L27" s="9">
        <v>0</v>
      </c>
      <c r="M27" s="2" t="s">
        <v>16</v>
      </c>
      <c r="N27" s="2" t="s">
        <v>32</v>
      </c>
      <c r="O27" s="2" t="s">
        <v>16</v>
      </c>
    </row>
    <row r="28" ht="30" customHeight="1">
      <c r="A28">
        <v>203</v>
      </c>
      <c r="B28" s="8" t="s">
        <v>70</v>
      </c>
      <c r="C28">
        <v>0</v>
      </c>
      <c r="D28">
        <v>1</v>
      </c>
      <c r="E28">
        <v>1</v>
      </c>
      <c r="F28" s="9">
        <f t="shared" si="5"/>
        <v>1</v>
      </c>
      <c r="G28" s="9">
        <f t="shared" si="6"/>
        <v>2</v>
      </c>
      <c r="H28" s="9">
        <f t="shared" si="7"/>
        <v>1</v>
      </c>
      <c r="I28" s="9">
        <f t="shared" si="8"/>
        <v>1</v>
      </c>
      <c r="J28" s="9">
        <f t="shared" si="9"/>
        <v>2</v>
      </c>
      <c r="K28" s="9">
        <v>1</v>
      </c>
      <c r="L28" s="9">
        <v>1</v>
      </c>
      <c r="M28" s="2" t="s">
        <v>16</v>
      </c>
      <c r="N28" s="2" t="s">
        <v>71</v>
      </c>
      <c r="O28" s="2" t="s">
        <v>72</v>
      </c>
    </row>
    <row r="29" ht="30" customHeight="1">
      <c r="A29">
        <v>205</v>
      </c>
      <c r="B29" s="8" t="s">
        <v>73</v>
      </c>
      <c r="C29">
        <v>0</v>
      </c>
      <c r="D29">
        <v>1</v>
      </c>
      <c r="E29">
        <v>1</v>
      </c>
      <c r="F29" s="9">
        <f t="shared" si="5"/>
        <v>1</v>
      </c>
      <c r="G29" s="9">
        <f t="shared" si="6"/>
        <v>2</v>
      </c>
      <c r="H29" s="9">
        <f t="shared" si="7"/>
        <v>1</v>
      </c>
      <c r="I29" s="9">
        <f t="shared" si="8"/>
        <v>1</v>
      </c>
      <c r="J29" s="9">
        <f t="shared" si="9"/>
        <v>2</v>
      </c>
      <c r="K29" s="9">
        <v>1</v>
      </c>
      <c r="L29" s="9">
        <v>1</v>
      </c>
      <c r="M29" s="2" t="s">
        <v>16</v>
      </c>
      <c r="N29" s="2" t="s">
        <v>74</v>
      </c>
      <c r="O29" s="2" t="s">
        <v>75</v>
      </c>
    </row>
    <row r="30" ht="30" customHeight="1">
      <c r="A30">
        <v>208</v>
      </c>
      <c r="B30" s="8" t="s">
        <v>76</v>
      </c>
      <c r="C30">
        <v>0</v>
      </c>
      <c r="D30">
        <v>0</v>
      </c>
      <c r="E30">
        <v>0</v>
      </c>
      <c r="F30" s="9">
        <f t="shared" si="5"/>
        <v>0</v>
      </c>
      <c r="G30" s="9">
        <f t="shared" si="6"/>
        <v>0</v>
      </c>
      <c r="H30" s="9">
        <f t="shared" si="7"/>
        <v>0</v>
      </c>
      <c r="I30" s="9">
        <f t="shared" si="8"/>
        <v>0</v>
      </c>
      <c r="J30" s="9">
        <f t="shared" si="9"/>
        <v>0</v>
      </c>
      <c r="K30" s="9">
        <v>0</v>
      </c>
      <c r="L30" s="9">
        <v>0</v>
      </c>
      <c r="M30" s="2" t="s">
        <v>16</v>
      </c>
      <c r="N30" s="2" t="s">
        <v>32</v>
      </c>
      <c r="O30" s="2" t="s">
        <v>16</v>
      </c>
    </row>
    <row r="31" ht="30" customHeight="1">
      <c r="A31">
        <v>210</v>
      </c>
      <c r="B31" s="8" t="s">
        <v>77</v>
      </c>
      <c r="C31">
        <v>0</v>
      </c>
      <c r="D31">
        <v>0</v>
      </c>
      <c r="E31">
        <v>0</v>
      </c>
      <c r="F31" s="9">
        <f t="shared" si="5"/>
        <v>0</v>
      </c>
      <c r="G31" s="9">
        <f t="shared" si="6"/>
        <v>0</v>
      </c>
      <c r="H31" s="9">
        <f t="shared" si="7"/>
        <v>0</v>
      </c>
      <c r="I31" s="9">
        <f t="shared" si="8"/>
        <v>0</v>
      </c>
      <c r="J31" s="9">
        <f t="shared" si="9"/>
        <v>0</v>
      </c>
      <c r="K31" s="9">
        <v>0</v>
      </c>
      <c r="L31" s="9">
        <v>0</v>
      </c>
      <c r="M31" s="2" t="s">
        <v>16</v>
      </c>
      <c r="N31" s="2" t="s">
        <v>32</v>
      </c>
      <c r="O31" s="2" t="s">
        <v>16</v>
      </c>
    </row>
    <row r="32" ht="30" customHeight="1">
      <c r="A32">
        <v>219</v>
      </c>
      <c r="B32" s="8" t="s">
        <v>78</v>
      </c>
      <c r="C32">
        <v>0</v>
      </c>
      <c r="D32">
        <v>1</v>
      </c>
      <c r="E32">
        <v>1</v>
      </c>
      <c r="F32" s="9">
        <f t="shared" si="5"/>
        <v>1</v>
      </c>
      <c r="G32" s="9">
        <f t="shared" si="6"/>
        <v>2</v>
      </c>
      <c r="H32" s="9">
        <f t="shared" si="7"/>
        <v>1</v>
      </c>
      <c r="I32" s="9">
        <f t="shared" si="8"/>
        <v>1</v>
      </c>
      <c r="J32" s="9">
        <f t="shared" si="9"/>
        <v>2</v>
      </c>
      <c r="K32" s="9">
        <v>1</v>
      </c>
      <c r="L32" s="9">
        <v>1</v>
      </c>
      <c r="M32" s="2" t="s">
        <v>16</v>
      </c>
      <c r="N32" s="2" t="s">
        <v>79</v>
      </c>
      <c r="O32" s="2" t="s">
        <v>80</v>
      </c>
    </row>
    <row r="33" ht="30" customHeight="1">
      <c r="A33">
        <v>231</v>
      </c>
      <c r="B33" s="8" t="s">
        <v>81</v>
      </c>
      <c r="C33">
        <v>1</v>
      </c>
      <c r="D33">
        <v>1</v>
      </c>
      <c r="E33">
        <v>1</v>
      </c>
      <c r="F33" s="9">
        <f t="shared" si="5"/>
        <v>1</v>
      </c>
      <c r="G33" s="9">
        <f t="shared" si="6"/>
        <v>3</v>
      </c>
      <c r="H33" s="9">
        <f t="shared" si="7"/>
        <v>2</v>
      </c>
      <c r="I33" s="9">
        <f t="shared" si="8"/>
        <v>2</v>
      </c>
      <c r="J33" s="9">
        <f t="shared" si="9"/>
        <v>2</v>
      </c>
      <c r="K33" s="9">
        <v>1</v>
      </c>
      <c r="L33" s="9">
        <v>1</v>
      </c>
      <c r="M33" s="2" t="s">
        <v>82</v>
      </c>
      <c r="N33" s="2" t="s">
        <v>83</v>
      </c>
      <c r="O33" s="2" t="s">
        <v>84</v>
      </c>
    </row>
    <row r="34" ht="30" customHeight="1">
      <c r="A34">
        <v>232</v>
      </c>
      <c r="B34" s="8" t="s">
        <v>85</v>
      </c>
      <c r="C34">
        <v>0</v>
      </c>
      <c r="D34">
        <v>1</v>
      </c>
      <c r="E34">
        <v>0</v>
      </c>
      <c r="F34" s="9">
        <f t="shared" si="5"/>
        <v>0</v>
      </c>
      <c r="G34" s="9">
        <f t="shared" si="6"/>
        <v>1</v>
      </c>
      <c r="H34" s="9">
        <f t="shared" si="7"/>
        <v>1</v>
      </c>
      <c r="I34" s="9">
        <f t="shared" si="8"/>
        <v>0</v>
      </c>
      <c r="J34" s="9">
        <f t="shared" si="9"/>
        <v>1</v>
      </c>
      <c r="K34" s="9">
        <v>1</v>
      </c>
      <c r="L34" s="9">
        <v>1</v>
      </c>
      <c r="M34" s="2" t="s">
        <v>16</v>
      </c>
      <c r="N34" s="2" t="s">
        <v>86</v>
      </c>
      <c r="O34" s="2" t="s">
        <v>16</v>
      </c>
    </row>
    <row r="35" ht="30" customHeight="1">
      <c r="A35">
        <v>234</v>
      </c>
      <c r="B35" s="8" t="s">
        <v>87</v>
      </c>
      <c r="C35">
        <v>0</v>
      </c>
      <c r="D35">
        <v>0</v>
      </c>
      <c r="E35">
        <v>0</v>
      </c>
      <c r="F35" s="9">
        <f t="shared" si="5"/>
        <v>0</v>
      </c>
      <c r="G35" s="9">
        <f t="shared" si="6"/>
        <v>0</v>
      </c>
      <c r="H35" s="9">
        <f t="shared" si="7"/>
        <v>0</v>
      </c>
      <c r="I35" s="9">
        <f t="shared" si="8"/>
        <v>0</v>
      </c>
      <c r="J35" s="9">
        <f t="shared" si="9"/>
        <v>0</v>
      </c>
      <c r="K35" s="9">
        <v>1</v>
      </c>
      <c r="L35" s="9">
        <v>1</v>
      </c>
      <c r="M35" s="2" t="s">
        <v>16</v>
      </c>
      <c r="N35" s="2" t="s">
        <v>32</v>
      </c>
      <c r="O35" s="2" t="s">
        <v>16</v>
      </c>
    </row>
    <row r="36" ht="30" customHeight="1">
      <c r="A36">
        <v>258</v>
      </c>
      <c r="B36" s="8" t="s">
        <v>88</v>
      </c>
      <c r="C36">
        <v>0</v>
      </c>
      <c r="D36">
        <v>1</v>
      </c>
      <c r="E36">
        <v>0</v>
      </c>
      <c r="F36" s="9">
        <f t="shared" si="5"/>
        <v>0</v>
      </c>
      <c r="G36" s="9">
        <f t="shared" si="6"/>
        <v>1</v>
      </c>
      <c r="H36" s="9">
        <f t="shared" si="7"/>
        <v>1</v>
      </c>
      <c r="I36" s="9">
        <f t="shared" si="8"/>
        <v>0</v>
      </c>
      <c r="J36" s="9">
        <f t="shared" si="9"/>
        <v>1</v>
      </c>
      <c r="K36" s="9">
        <v>1</v>
      </c>
      <c r="L36" s="9">
        <v>1</v>
      </c>
      <c r="M36" s="2" t="s">
        <v>16</v>
      </c>
      <c r="N36" s="2" t="s">
        <v>89</v>
      </c>
      <c r="O36" s="2" t="s">
        <v>16</v>
      </c>
    </row>
    <row r="37" ht="30" customHeight="1">
      <c r="A37">
        <v>264</v>
      </c>
      <c r="B37" s="8" t="s">
        <v>90</v>
      </c>
      <c r="C37">
        <v>1</v>
      </c>
      <c r="D37">
        <v>1</v>
      </c>
      <c r="E37">
        <v>0</v>
      </c>
      <c r="F37" s="9">
        <f t="shared" si="5"/>
        <v>1</v>
      </c>
      <c r="G37" s="9">
        <f t="shared" si="6"/>
        <v>2</v>
      </c>
      <c r="H37" s="9">
        <f t="shared" si="7"/>
        <v>2</v>
      </c>
      <c r="I37" s="9">
        <f t="shared" si="8"/>
        <v>1</v>
      </c>
      <c r="J37" s="9">
        <f t="shared" si="9"/>
        <v>1</v>
      </c>
      <c r="K37" s="9">
        <v>0</v>
      </c>
      <c r="L37" s="9">
        <v>0</v>
      </c>
      <c r="M37" s="2" t="s">
        <v>91</v>
      </c>
      <c r="N37" s="2" t="s">
        <v>57</v>
      </c>
      <c r="O37" s="2" t="s">
        <v>16</v>
      </c>
    </row>
    <row r="38" ht="30" customHeight="1">
      <c r="A38">
        <v>265</v>
      </c>
      <c r="B38" s="8" t="s">
        <v>92</v>
      </c>
      <c r="C38">
        <v>1</v>
      </c>
      <c r="D38">
        <v>0</v>
      </c>
      <c r="E38">
        <v>0</v>
      </c>
      <c r="F38" s="9">
        <f t="shared" si="5"/>
        <v>0</v>
      </c>
      <c r="G38" s="9">
        <f t="shared" si="6"/>
        <v>1</v>
      </c>
      <c r="H38" s="9">
        <f t="shared" si="7"/>
        <v>1</v>
      </c>
      <c r="I38" s="9">
        <f t="shared" si="8"/>
        <v>1</v>
      </c>
      <c r="J38" s="9">
        <f t="shared" si="9"/>
        <v>0</v>
      </c>
      <c r="K38" s="9">
        <v>0</v>
      </c>
      <c r="L38" s="9">
        <v>0</v>
      </c>
      <c r="M38" s="2" t="s">
        <v>93</v>
      </c>
      <c r="N38" s="2" t="s">
        <v>32</v>
      </c>
      <c r="O38" s="2" t="s">
        <v>16</v>
      </c>
    </row>
    <row r="39" ht="30" customHeight="1">
      <c r="A39">
        <v>268</v>
      </c>
      <c r="B39" s="8" t="s">
        <v>94</v>
      </c>
      <c r="C39">
        <v>0</v>
      </c>
      <c r="D39">
        <v>1</v>
      </c>
      <c r="E39">
        <v>0</v>
      </c>
      <c r="F39" s="9">
        <f t="shared" si="5"/>
        <v>0</v>
      </c>
      <c r="G39" s="9">
        <f t="shared" si="6"/>
        <v>1</v>
      </c>
      <c r="H39" s="9">
        <f t="shared" si="7"/>
        <v>1</v>
      </c>
      <c r="I39" s="9">
        <f t="shared" si="8"/>
        <v>0</v>
      </c>
      <c r="J39" s="9">
        <f t="shared" si="9"/>
        <v>1</v>
      </c>
      <c r="K39" s="9">
        <v>0</v>
      </c>
      <c r="L39" s="9">
        <v>0</v>
      </c>
      <c r="M39" s="2" t="s">
        <v>16</v>
      </c>
      <c r="N39" s="2" t="s">
        <v>57</v>
      </c>
      <c r="O39" s="2" t="s">
        <v>16</v>
      </c>
    </row>
    <row r="40" ht="30" customHeight="1">
      <c r="A40">
        <v>271</v>
      </c>
      <c r="B40" s="8" t="s">
        <v>95</v>
      </c>
      <c r="C40">
        <v>0</v>
      </c>
      <c r="D40">
        <v>1</v>
      </c>
      <c r="E40">
        <v>1</v>
      </c>
      <c r="F40" s="9">
        <f t="shared" si="5"/>
        <v>1</v>
      </c>
      <c r="G40" s="9">
        <f t="shared" si="6"/>
        <v>2</v>
      </c>
      <c r="H40" s="9">
        <f t="shared" si="7"/>
        <v>1</v>
      </c>
      <c r="I40" s="9">
        <f t="shared" si="8"/>
        <v>1</v>
      </c>
      <c r="J40" s="9">
        <f t="shared" si="9"/>
        <v>2</v>
      </c>
      <c r="K40" s="9">
        <v>1</v>
      </c>
      <c r="L40" s="9">
        <v>1</v>
      </c>
      <c r="M40" s="2" t="s">
        <v>16</v>
      </c>
      <c r="N40" s="2" t="s">
        <v>96</v>
      </c>
      <c r="O40" s="2" t="s">
        <v>97</v>
      </c>
    </row>
    <row r="41" ht="30" customHeight="1">
      <c r="A41">
        <v>274</v>
      </c>
      <c r="B41" s="8" t="s">
        <v>98</v>
      </c>
      <c r="C41">
        <v>0</v>
      </c>
      <c r="D41">
        <v>1</v>
      </c>
      <c r="E41">
        <v>1</v>
      </c>
      <c r="F41" s="9">
        <f t="shared" si="5"/>
        <v>1</v>
      </c>
      <c r="G41" s="9">
        <f t="shared" si="6"/>
        <v>2</v>
      </c>
      <c r="H41" s="9">
        <f t="shared" si="7"/>
        <v>1</v>
      </c>
      <c r="I41" s="9">
        <f t="shared" si="8"/>
        <v>1</v>
      </c>
      <c r="J41" s="9">
        <f t="shared" si="9"/>
        <v>2</v>
      </c>
      <c r="K41" s="9">
        <v>1</v>
      </c>
      <c r="L41" s="9">
        <v>1</v>
      </c>
      <c r="M41" s="2" t="s">
        <v>16</v>
      </c>
      <c r="N41" s="2" t="s">
        <v>99</v>
      </c>
      <c r="O41" s="2" t="s">
        <v>100</v>
      </c>
    </row>
    <row r="42" ht="30" customHeight="1">
      <c r="A42">
        <v>278</v>
      </c>
      <c r="B42" s="8" t="s">
        <v>101</v>
      </c>
      <c r="C42">
        <v>1</v>
      </c>
      <c r="D42">
        <v>1</v>
      </c>
      <c r="E42">
        <v>1</v>
      </c>
      <c r="F42" s="9">
        <f t="shared" si="5"/>
        <v>1</v>
      </c>
      <c r="G42" s="9">
        <f t="shared" si="6"/>
        <v>3</v>
      </c>
      <c r="H42" s="9">
        <f t="shared" si="7"/>
        <v>2</v>
      </c>
      <c r="I42" s="9">
        <f t="shared" si="8"/>
        <v>2</v>
      </c>
      <c r="J42" s="9">
        <f t="shared" si="9"/>
        <v>2</v>
      </c>
      <c r="K42" s="9">
        <v>1</v>
      </c>
      <c r="L42" s="9">
        <v>1</v>
      </c>
      <c r="M42" s="2" t="s">
        <v>102</v>
      </c>
      <c r="N42" s="2" t="s">
        <v>103</v>
      </c>
      <c r="O42" s="2" t="s">
        <v>102</v>
      </c>
    </row>
    <row r="43" ht="30" customHeight="1">
      <c r="A43">
        <v>284</v>
      </c>
      <c r="B43" s="8" t="s">
        <v>104</v>
      </c>
      <c r="C43">
        <v>1</v>
      </c>
      <c r="D43">
        <v>0</v>
      </c>
      <c r="E43">
        <v>0</v>
      </c>
      <c r="F43" s="9">
        <f t="shared" si="5"/>
        <v>0</v>
      </c>
      <c r="G43" s="9">
        <f t="shared" si="6"/>
        <v>1</v>
      </c>
      <c r="H43" s="9">
        <f t="shared" si="7"/>
        <v>1</v>
      </c>
      <c r="I43" s="9">
        <f t="shared" si="8"/>
        <v>1</v>
      </c>
      <c r="J43" s="9">
        <f t="shared" si="9"/>
        <v>0</v>
      </c>
      <c r="K43" s="9">
        <v>0</v>
      </c>
      <c r="L43" s="9">
        <v>0</v>
      </c>
      <c r="M43" s="2" t="s">
        <v>26</v>
      </c>
      <c r="N43" s="2" t="s">
        <v>32</v>
      </c>
      <c r="O43" s="2" t="s">
        <v>16</v>
      </c>
    </row>
    <row r="44" ht="30" customHeight="1">
      <c r="A44">
        <v>295</v>
      </c>
      <c r="B44" s="8" t="s">
        <v>105</v>
      </c>
      <c r="C44">
        <v>1</v>
      </c>
      <c r="D44">
        <v>0</v>
      </c>
      <c r="E44">
        <v>0</v>
      </c>
      <c r="F44" s="9">
        <f t="shared" si="5"/>
        <v>0</v>
      </c>
      <c r="G44" s="9">
        <f t="shared" si="6"/>
        <v>1</v>
      </c>
      <c r="H44" s="9">
        <f t="shared" si="7"/>
        <v>1</v>
      </c>
      <c r="I44" s="9">
        <f t="shared" si="8"/>
        <v>1</v>
      </c>
      <c r="J44" s="9">
        <f t="shared" si="9"/>
        <v>0</v>
      </c>
      <c r="K44" s="9">
        <v>0</v>
      </c>
      <c r="L44" s="9">
        <v>0</v>
      </c>
      <c r="M44" s="2" t="s">
        <v>56</v>
      </c>
      <c r="N44" s="2" t="s">
        <v>32</v>
      </c>
      <c r="O44" s="2" t="s">
        <v>16</v>
      </c>
    </row>
    <row r="45" ht="30" customHeight="1">
      <c r="A45">
        <v>298</v>
      </c>
      <c r="B45" s="8" t="s">
        <v>106</v>
      </c>
      <c r="C45">
        <v>1</v>
      </c>
      <c r="D45">
        <v>0</v>
      </c>
      <c r="E45">
        <v>0</v>
      </c>
      <c r="F45" s="9">
        <f t="shared" si="5"/>
        <v>0</v>
      </c>
      <c r="G45" s="9">
        <f t="shared" si="6"/>
        <v>1</v>
      </c>
      <c r="H45" s="9">
        <f t="shared" si="7"/>
        <v>1</v>
      </c>
      <c r="I45" s="9">
        <f t="shared" si="8"/>
        <v>1</v>
      </c>
      <c r="J45" s="9">
        <f t="shared" si="9"/>
        <v>0</v>
      </c>
      <c r="K45" s="9">
        <v>1</v>
      </c>
      <c r="L45" s="9">
        <v>1</v>
      </c>
      <c r="M45" s="2" t="s">
        <v>107</v>
      </c>
      <c r="N45" s="2" t="s">
        <v>32</v>
      </c>
      <c r="O45" s="2" t="s">
        <v>16</v>
      </c>
    </row>
    <row r="46" ht="30" customHeight="1">
      <c r="A46">
        <v>319</v>
      </c>
      <c r="B46" s="8" t="s">
        <v>108</v>
      </c>
      <c r="C46">
        <v>0</v>
      </c>
      <c r="D46">
        <v>0</v>
      </c>
      <c r="E46">
        <v>0</v>
      </c>
      <c r="F46" s="9">
        <f t="shared" si="5"/>
        <v>0</v>
      </c>
      <c r="G46" s="9">
        <f t="shared" si="6"/>
        <v>0</v>
      </c>
      <c r="H46" s="9">
        <f t="shared" si="7"/>
        <v>0</v>
      </c>
      <c r="I46" s="9">
        <f t="shared" si="8"/>
        <v>0</v>
      </c>
      <c r="J46" s="9">
        <f t="shared" si="9"/>
        <v>0</v>
      </c>
      <c r="K46" s="9">
        <v>0</v>
      </c>
      <c r="L46" s="9">
        <v>0</v>
      </c>
      <c r="M46" s="2" t="s">
        <v>16</v>
      </c>
      <c r="N46" s="2" t="s">
        <v>32</v>
      </c>
      <c r="O46" s="2" t="s">
        <v>16</v>
      </c>
    </row>
    <row r="47" ht="30" customHeight="1">
      <c r="A47">
        <v>323</v>
      </c>
      <c r="B47" s="8" t="s">
        <v>109</v>
      </c>
      <c r="C47">
        <v>1</v>
      </c>
      <c r="D47">
        <v>0</v>
      </c>
      <c r="E47">
        <v>0</v>
      </c>
      <c r="F47" s="9">
        <f t="shared" si="5"/>
        <v>0</v>
      </c>
      <c r="G47" s="9">
        <f t="shared" si="6"/>
        <v>1</v>
      </c>
      <c r="H47" s="9">
        <f t="shared" si="7"/>
        <v>1</v>
      </c>
      <c r="I47" s="9">
        <f t="shared" si="8"/>
        <v>1</v>
      </c>
      <c r="J47" s="9">
        <f t="shared" si="9"/>
        <v>0</v>
      </c>
      <c r="K47" s="9">
        <v>0</v>
      </c>
      <c r="L47" s="9">
        <v>0</v>
      </c>
      <c r="M47" s="2" t="s">
        <v>110</v>
      </c>
      <c r="N47" s="2" t="s">
        <v>32</v>
      </c>
      <c r="O47" s="2" t="s">
        <v>16</v>
      </c>
    </row>
    <row r="48" ht="30" customHeight="1">
      <c r="A48">
        <v>325</v>
      </c>
      <c r="B48" s="8" t="s">
        <v>111</v>
      </c>
      <c r="C48">
        <v>0</v>
      </c>
      <c r="D48">
        <v>0</v>
      </c>
      <c r="E48">
        <v>0</v>
      </c>
      <c r="F48" s="9">
        <f t="shared" si="5"/>
        <v>0</v>
      </c>
      <c r="G48" s="9">
        <f t="shared" si="6"/>
        <v>0</v>
      </c>
      <c r="H48" s="9">
        <f t="shared" si="7"/>
        <v>0</v>
      </c>
      <c r="I48" s="9">
        <f t="shared" si="8"/>
        <v>0</v>
      </c>
      <c r="J48" s="9">
        <f t="shared" si="9"/>
        <v>0</v>
      </c>
      <c r="K48" s="9">
        <v>0</v>
      </c>
      <c r="L48" s="9">
        <v>0</v>
      </c>
      <c r="M48" s="2" t="s">
        <v>16</v>
      </c>
      <c r="N48" s="2" t="s">
        <v>32</v>
      </c>
      <c r="O48" s="2" t="s">
        <v>16</v>
      </c>
    </row>
    <row r="49" ht="30" customHeight="1">
      <c r="A49">
        <v>337</v>
      </c>
      <c r="B49" s="8" t="s">
        <v>112</v>
      </c>
      <c r="C49">
        <v>0</v>
      </c>
      <c r="D49">
        <v>1</v>
      </c>
      <c r="E49">
        <v>1</v>
      </c>
      <c r="F49" s="9">
        <f t="shared" si="5"/>
        <v>1</v>
      </c>
      <c r="G49" s="9">
        <f t="shared" si="6"/>
        <v>2</v>
      </c>
      <c r="H49" s="9">
        <f t="shared" si="7"/>
        <v>1</v>
      </c>
      <c r="I49" s="9">
        <f t="shared" si="8"/>
        <v>1</v>
      </c>
      <c r="J49" s="9">
        <f t="shared" si="9"/>
        <v>2</v>
      </c>
      <c r="K49" s="9">
        <v>1</v>
      </c>
      <c r="L49" s="9">
        <v>1</v>
      </c>
      <c r="M49" s="2" t="s">
        <v>16</v>
      </c>
      <c r="N49" s="2" t="s">
        <v>113</v>
      </c>
      <c r="O49" s="2" t="s">
        <v>93</v>
      </c>
    </row>
    <row r="50" ht="30" customHeight="1">
      <c r="A50">
        <v>343</v>
      </c>
      <c r="B50" s="8" t="s">
        <v>114</v>
      </c>
      <c r="C50">
        <v>1</v>
      </c>
      <c r="D50">
        <v>1</v>
      </c>
      <c r="E50">
        <v>1</v>
      </c>
      <c r="F50" s="9">
        <f t="shared" si="5"/>
        <v>1</v>
      </c>
      <c r="G50" s="9">
        <f t="shared" si="6"/>
        <v>3</v>
      </c>
      <c r="H50" s="9">
        <f t="shared" si="7"/>
        <v>2</v>
      </c>
      <c r="I50" s="9">
        <f t="shared" si="8"/>
        <v>2</v>
      </c>
      <c r="J50" s="9">
        <f t="shared" si="9"/>
        <v>2</v>
      </c>
      <c r="K50" s="9">
        <v>0</v>
      </c>
      <c r="L50" s="9">
        <v>0</v>
      </c>
      <c r="M50" s="2" t="s">
        <v>115</v>
      </c>
      <c r="N50" s="2" t="s">
        <v>116</v>
      </c>
      <c r="O50" s="2" t="s">
        <v>117</v>
      </c>
    </row>
    <row r="51" ht="30" customHeight="1">
      <c r="A51">
        <v>352</v>
      </c>
      <c r="B51" s="8" t="s">
        <v>118</v>
      </c>
      <c r="C51">
        <v>1</v>
      </c>
      <c r="D51">
        <v>0</v>
      </c>
      <c r="E51">
        <v>0</v>
      </c>
      <c r="F51" s="9">
        <f t="shared" si="5"/>
        <v>0</v>
      </c>
      <c r="G51" s="9">
        <f t="shared" si="6"/>
        <v>1</v>
      </c>
      <c r="H51" s="9">
        <f t="shared" si="7"/>
        <v>1</v>
      </c>
      <c r="I51" s="9">
        <f t="shared" si="8"/>
        <v>1</v>
      </c>
      <c r="J51" s="9">
        <f t="shared" si="9"/>
        <v>0</v>
      </c>
      <c r="K51" s="9">
        <v>1</v>
      </c>
      <c r="L51" s="9">
        <v>1</v>
      </c>
      <c r="M51" s="2" t="s">
        <v>119</v>
      </c>
      <c r="N51" s="2" t="s">
        <v>32</v>
      </c>
      <c r="O51" s="2" t="s">
        <v>16</v>
      </c>
    </row>
    <row r="52" ht="30" customHeight="1">
      <c r="A52">
        <v>358</v>
      </c>
      <c r="B52" s="1" t="s">
        <v>120</v>
      </c>
      <c r="C52">
        <v>0</v>
      </c>
      <c r="D52">
        <v>0</v>
      </c>
      <c r="E52">
        <v>0</v>
      </c>
      <c r="F52" s="9">
        <f t="shared" si="5"/>
        <v>0</v>
      </c>
      <c r="G52" s="9">
        <f t="shared" si="6"/>
        <v>0</v>
      </c>
      <c r="H52" s="9">
        <f t="shared" si="7"/>
        <v>0</v>
      </c>
      <c r="I52" s="9">
        <f t="shared" si="8"/>
        <v>0</v>
      </c>
      <c r="J52" s="9">
        <f t="shared" si="9"/>
        <v>0</v>
      </c>
      <c r="K52" s="9">
        <v>0</v>
      </c>
      <c r="L52" s="9">
        <v>0</v>
      </c>
      <c r="M52" s="2" t="s">
        <v>16</v>
      </c>
      <c r="N52" s="2" t="s">
        <v>32</v>
      </c>
      <c r="O52" s="2" t="s">
        <v>16</v>
      </c>
    </row>
    <row r="53" ht="30" customHeight="1">
      <c r="A53">
        <v>359</v>
      </c>
      <c r="B53" s="1" t="s">
        <v>121</v>
      </c>
      <c r="C53">
        <v>0</v>
      </c>
      <c r="D53">
        <v>0</v>
      </c>
      <c r="E53">
        <v>0</v>
      </c>
      <c r="F53" s="9">
        <f t="shared" si="5"/>
        <v>0</v>
      </c>
      <c r="G53" s="9">
        <f t="shared" si="6"/>
        <v>0</v>
      </c>
      <c r="H53" s="9">
        <f t="shared" si="7"/>
        <v>0</v>
      </c>
      <c r="I53" s="9">
        <f t="shared" si="8"/>
        <v>0</v>
      </c>
      <c r="J53" s="9">
        <f t="shared" si="9"/>
        <v>0</v>
      </c>
      <c r="K53" s="9">
        <v>0</v>
      </c>
      <c r="L53" s="9">
        <v>0</v>
      </c>
      <c r="M53" s="2" t="s">
        <v>16</v>
      </c>
      <c r="N53" s="2" t="s">
        <v>32</v>
      </c>
      <c r="O53" s="2" t="s">
        <v>16</v>
      </c>
    </row>
    <row r="54" ht="30" customHeight="1">
      <c r="A54">
        <v>363</v>
      </c>
      <c r="B54" s="1" t="s">
        <v>122</v>
      </c>
      <c r="C54">
        <v>0</v>
      </c>
      <c r="D54">
        <v>0</v>
      </c>
      <c r="E54">
        <v>0</v>
      </c>
      <c r="F54" s="9">
        <f t="shared" si="5"/>
        <v>0</v>
      </c>
      <c r="G54" s="9">
        <f t="shared" si="6"/>
        <v>0</v>
      </c>
      <c r="H54" s="9">
        <f t="shared" si="7"/>
        <v>0</v>
      </c>
      <c r="I54" s="9">
        <f t="shared" si="8"/>
        <v>0</v>
      </c>
      <c r="J54" s="9">
        <f t="shared" si="9"/>
        <v>0</v>
      </c>
      <c r="K54" s="9">
        <v>0</v>
      </c>
      <c r="L54" s="9">
        <v>0</v>
      </c>
      <c r="M54" s="2" t="s">
        <v>16</v>
      </c>
      <c r="N54" s="2" t="s">
        <v>32</v>
      </c>
      <c r="O54" s="2" t="s">
        <v>16</v>
      </c>
    </row>
    <row r="55" ht="30" customHeight="1">
      <c r="A55">
        <v>373</v>
      </c>
      <c r="B55" s="1" t="s">
        <v>123</v>
      </c>
      <c r="C55">
        <v>0</v>
      </c>
      <c r="D55">
        <v>0</v>
      </c>
      <c r="E55">
        <v>0</v>
      </c>
      <c r="F55" s="9">
        <f t="shared" si="5"/>
        <v>0</v>
      </c>
      <c r="G55" s="9">
        <f t="shared" si="6"/>
        <v>0</v>
      </c>
      <c r="H55" s="9">
        <f t="shared" si="7"/>
        <v>0</v>
      </c>
      <c r="I55" s="9">
        <f t="shared" si="8"/>
        <v>0</v>
      </c>
      <c r="J55" s="9">
        <f t="shared" si="9"/>
        <v>0</v>
      </c>
      <c r="K55" s="9">
        <v>0</v>
      </c>
      <c r="L55" s="9">
        <v>0</v>
      </c>
      <c r="M55" s="2" t="s">
        <v>16</v>
      </c>
      <c r="N55" s="2" t="s">
        <v>32</v>
      </c>
      <c r="O55" s="2" t="s">
        <v>16</v>
      </c>
    </row>
    <row r="56" ht="30" customHeight="1">
      <c r="A56">
        <v>387</v>
      </c>
      <c r="B56" s="1" t="s">
        <v>124</v>
      </c>
      <c r="C56">
        <v>0</v>
      </c>
      <c r="D56">
        <v>0</v>
      </c>
      <c r="E56">
        <v>0</v>
      </c>
      <c r="F56" s="9">
        <f t="shared" si="5"/>
        <v>0</v>
      </c>
      <c r="G56" s="9">
        <f t="shared" si="6"/>
        <v>0</v>
      </c>
      <c r="H56" s="9">
        <f t="shared" si="7"/>
        <v>0</v>
      </c>
      <c r="I56" s="9">
        <f t="shared" si="8"/>
        <v>0</v>
      </c>
      <c r="J56" s="9">
        <f t="shared" si="9"/>
        <v>0</v>
      </c>
      <c r="K56" s="9">
        <v>0</v>
      </c>
      <c r="L56" s="9">
        <v>0</v>
      </c>
      <c r="M56" s="2" t="s">
        <v>16</v>
      </c>
      <c r="N56" s="2" t="s">
        <v>32</v>
      </c>
      <c r="O56" s="2" t="s">
        <v>16</v>
      </c>
    </row>
    <row r="57" ht="30" customHeight="1">
      <c r="A57">
        <v>399</v>
      </c>
      <c r="B57" s="1" t="s">
        <v>125</v>
      </c>
      <c r="C57">
        <v>0</v>
      </c>
      <c r="D57">
        <v>0</v>
      </c>
      <c r="E57">
        <v>0</v>
      </c>
      <c r="F57" s="9">
        <f t="shared" si="5"/>
        <v>0</v>
      </c>
      <c r="G57" s="9">
        <f t="shared" si="6"/>
        <v>0</v>
      </c>
      <c r="H57" s="9">
        <f t="shared" si="7"/>
        <v>0</v>
      </c>
      <c r="I57" s="9">
        <f t="shared" si="8"/>
        <v>0</v>
      </c>
      <c r="J57" s="9">
        <f t="shared" si="9"/>
        <v>0</v>
      </c>
      <c r="K57" s="9">
        <v>0</v>
      </c>
      <c r="L57" s="9">
        <v>0</v>
      </c>
      <c r="M57" s="2" t="s">
        <v>16</v>
      </c>
      <c r="N57" s="2" t="s">
        <v>32</v>
      </c>
      <c r="O57" s="2" t="s">
        <v>16</v>
      </c>
    </row>
    <row r="58" ht="30" customHeight="1">
      <c r="A58">
        <v>400</v>
      </c>
      <c r="B58" s="1" t="s">
        <v>126</v>
      </c>
      <c r="C58">
        <v>0</v>
      </c>
      <c r="D58">
        <v>0</v>
      </c>
      <c r="E58">
        <v>0</v>
      </c>
      <c r="F58" s="9">
        <f t="shared" si="5"/>
        <v>0</v>
      </c>
      <c r="G58" s="9">
        <f t="shared" si="6"/>
        <v>0</v>
      </c>
      <c r="H58" s="9">
        <f t="shared" si="7"/>
        <v>0</v>
      </c>
      <c r="I58" s="9">
        <f t="shared" si="8"/>
        <v>0</v>
      </c>
      <c r="J58" s="9">
        <f t="shared" si="9"/>
        <v>0</v>
      </c>
      <c r="K58" s="9">
        <v>0</v>
      </c>
      <c r="L58" s="9">
        <v>0</v>
      </c>
      <c r="M58" s="2" t="s">
        <v>16</v>
      </c>
      <c r="N58" s="2" t="s">
        <v>32</v>
      </c>
      <c r="O58" s="2" t="s">
        <v>16</v>
      </c>
    </row>
    <row r="59" ht="30" customHeight="1">
      <c r="A59">
        <v>407</v>
      </c>
      <c r="B59" s="1" t="s">
        <v>127</v>
      </c>
      <c r="C59">
        <v>1</v>
      </c>
      <c r="D59">
        <v>1</v>
      </c>
      <c r="E59">
        <v>0</v>
      </c>
      <c r="F59" s="9">
        <f t="shared" si="5"/>
        <v>1</v>
      </c>
      <c r="G59" s="9">
        <f t="shared" si="6"/>
        <v>2</v>
      </c>
      <c r="H59" s="9">
        <f t="shared" si="7"/>
        <v>2</v>
      </c>
      <c r="I59" s="9">
        <f t="shared" si="8"/>
        <v>1</v>
      </c>
      <c r="J59" s="9">
        <f t="shared" si="9"/>
        <v>1</v>
      </c>
      <c r="K59" s="9">
        <v>1</v>
      </c>
      <c r="L59" s="9">
        <v>1</v>
      </c>
      <c r="M59" s="2" t="s">
        <v>128</v>
      </c>
      <c r="N59" s="2" t="s">
        <v>129</v>
      </c>
      <c r="O59" s="2" t="s">
        <v>16</v>
      </c>
    </row>
    <row r="60" ht="30" customHeight="1">
      <c r="A60">
        <v>421</v>
      </c>
      <c r="B60" s="1" t="s">
        <v>130</v>
      </c>
      <c r="C60">
        <v>1</v>
      </c>
      <c r="D60">
        <v>1</v>
      </c>
      <c r="E60">
        <v>1</v>
      </c>
      <c r="F60" s="9">
        <f t="shared" si="5"/>
        <v>1</v>
      </c>
      <c r="G60" s="9">
        <f t="shared" si="6"/>
        <v>3</v>
      </c>
      <c r="H60" s="9">
        <f t="shared" si="7"/>
        <v>2</v>
      </c>
      <c r="I60" s="9">
        <f t="shared" si="8"/>
        <v>2</v>
      </c>
      <c r="J60" s="9">
        <f t="shared" si="9"/>
        <v>2</v>
      </c>
      <c r="K60" s="9">
        <v>1</v>
      </c>
      <c r="L60" s="9">
        <v>1</v>
      </c>
      <c r="M60" s="2" t="s">
        <v>131</v>
      </c>
      <c r="N60" s="2" t="s">
        <v>132</v>
      </c>
      <c r="O60" s="2" t="s">
        <v>131</v>
      </c>
    </row>
    <row r="61" ht="30" customHeight="1">
      <c r="A61">
        <v>425</v>
      </c>
      <c r="B61" s="1" t="s">
        <v>133</v>
      </c>
      <c r="C61">
        <v>0</v>
      </c>
      <c r="D61">
        <v>1</v>
      </c>
      <c r="E61">
        <v>0</v>
      </c>
      <c r="F61" s="9">
        <f t="shared" si="5"/>
        <v>0</v>
      </c>
      <c r="G61" s="9">
        <f t="shared" si="6"/>
        <v>1</v>
      </c>
      <c r="H61" s="9">
        <f t="shared" si="7"/>
        <v>1</v>
      </c>
      <c r="I61" s="9">
        <f t="shared" si="8"/>
        <v>0</v>
      </c>
      <c r="J61" s="9">
        <f t="shared" si="9"/>
        <v>1</v>
      </c>
      <c r="K61" s="9">
        <v>1</v>
      </c>
      <c r="L61" s="9">
        <v>0</v>
      </c>
      <c r="M61" s="2" t="s">
        <v>16</v>
      </c>
      <c r="N61" s="2" t="s">
        <v>134</v>
      </c>
      <c r="O61" s="2" t="s">
        <v>16</v>
      </c>
    </row>
    <row r="62" ht="30" customHeight="1">
      <c r="A62">
        <v>429</v>
      </c>
      <c r="B62" s="1" t="s">
        <v>135</v>
      </c>
      <c r="C62">
        <v>0</v>
      </c>
      <c r="D62">
        <v>0</v>
      </c>
      <c r="E62">
        <v>0</v>
      </c>
      <c r="F62" s="9">
        <f t="shared" si="5"/>
        <v>0</v>
      </c>
      <c r="G62" s="9">
        <f t="shared" si="6"/>
        <v>0</v>
      </c>
      <c r="H62" s="9">
        <f t="shared" si="7"/>
        <v>0</v>
      </c>
      <c r="I62" s="9">
        <f t="shared" si="8"/>
        <v>0</v>
      </c>
      <c r="J62" s="9">
        <f t="shared" si="9"/>
        <v>0</v>
      </c>
      <c r="K62" s="9">
        <v>0</v>
      </c>
      <c r="L62" s="9">
        <v>0</v>
      </c>
      <c r="M62" s="2" t="s">
        <v>16</v>
      </c>
      <c r="N62" s="2" t="s">
        <v>32</v>
      </c>
      <c r="O62" s="2" t="s">
        <v>16</v>
      </c>
    </row>
    <row r="63" ht="30" customHeight="1">
      <c r="A63">
        <v>438</v>
      </c>
      <c r="B63" s="1" t="s">
        <v>136</v>
      </c>
      <c r="C63">
        <v>0</v>
      </c>
      <c r="D63">
        <v>0</v>
      </c>
      <c r="E63">
        <v>0</v>
      </c>
      <c r="F63" s="9">
        <f t="shared" si="5"/>
        <v>0</v>
      </c>
      <c r="G63" s="9">
        <f t="shared" si="6"/>
        <v>0</v>
      </c>
      <c r="H63" s="9">
        <f t="shared" si="7"/>
        <v>0</v>
      </c>
      <c r="I63" s="9">
        <f t="shared" si="8"/>
        <v>0</v>
      </c>
      <c r="J63" s="9">
        <f t="shared" si="9"/>
        <v>0</v>
      </c>
      <c r="K63" s="9">
        <v>0</v>
      </c>
      <c r="L63" s="9">
        <v>0</v>
      </c>
      <c r="M63" s="2" t="s">
        <v>16</v>
      </c>
      <c r="N63" s="2" t="s">
        <v>32</v>
      </c>
      <c r="O63" s="2" t="s">
        <v>16</v>
      </c>
    </row>
    <row r="64" ht="30" customHeight="1">
      <c r="A64">
        <v>439</v>
      </c>
      <c r="B64" s="1" t="s">
        <v>137</v>
      </c>
      <c r="C64">
        <v>1</v>
      </c>
      <c r="D64">
        <v>1</v>
      </c>
      <c r="E64">
        <v>1</v>
      </c>
      <c r="F64" s="9">
        <f t="shared" si="5"/>
        <v>1</v>
      </c>
      <c r="G64" s="9">
        <f t="shared" si="6"/>
        <v>3</v>
      </c>
      <c r="H64" s="9">
        <f t="shared" si="7"/>
        <v>2</v>
      </c>
      <c r="I64" s="9">
        <f t="shared" si="8"/>
        <v>2</v>
      </c>
      <c r="J64" s="9">
        <f t="shared" si="9"/>
        <v>2</v>
      </c>
      <c r="K64" s="9">
        <v>1</v>
      </c>
      <c r="L64" s="9">
        <v>1</v>
      </c>
      <c r="M64" s="2" t="s">
        <v>138</v>
      </c>
      <c r="N64" s="2" t="s">
        <v>139</v>
      </c>
      <c r="O64" s="2" t="s">
        <v>138</v>
      </c>
    </row>
    <row r="65" ht="30" customHeight="1">
      <c r="A65">
        <v>446</v>
      </c>
      <c r="B65" s="1" t="s">
        <v>140</v>
      </c>
      <c r="C65">
        <v>1</v>
      </c>
      <c r="D65">
        <v>1</v>
      </c>
      <c r="E65">
        <v>0</v>
      </c>
      <c r="F65" s="9">
        <f t="shared" si="5"/>
        <v>1</v>
      </c>
      <c r="G65" s="9">
        <f t="shared" si="6"/>
        <v>2</v>
      </c>
      <c r="H65" s="9">
        <f t="shared" si="7"/>
        <v>2</v>
      </c>
      <c r="I65" s="9">
        <f t="shared" si="8"/>
        <v>1</v>
      </c>
      <c r="J65" s="9">
        <f t="shared" si="9"/>
        <v>1</v>
      </c>
      <c r="K65" s="9">
        <v>1</v>
      </c>
      <c r="L65" s="9">
        <v>1</v>
      </c>
      <c r="M65" s="2" t="s">
        <v>140</v>
      </c>
      <c r="N65" s="2" t="s">
        <v>141</v>
      </c>
      <c r="O65" s="2" t="s">
        <v>16</v>
      </c>
    </row>
    <row r="66" ht="30" customHeight="1">
      <c r="A66">
        <v>449</v>
      </c>
      <c r="B66" s="1" t="s">
        <v>135</v>
      </c>
      <c r="C66">
        <v>0</v>
      </c>
      <c r="D66">
        <v>0</v>
      </c>
      <c r="E66">
        <v>0</v>
      </c>
      <c r="F66" s="9">
        <f t="shared" si="5"/>
        <v>0</v>
      </c>
      <c r="G66" s="9">
        <f t="shared" si="6"/>
        <v>0</v>
      </c>
      <c r="H66" s="9">
        <f t="shared" si="7"/>
        <v>0</v>
      </c>
      <c r="I66" s="9">
        <f t="shared" si="8"/>
        <v>0</v>
      </c>
      <c r="J66" s="9">
        <f t="shared" si="9"/>
        <v>0</v>
      </c>
      <c r="K66" s="9">
        <v>0</v>
      </c>
      <c r="L66" s="9">
        <v>0</v>
      </c>
      <c r="M66" s="2" t="s">
        <v>16</v>
      </c>
      <c r="N66" s="2" t="s">
        <v>32</v>
      </c>
      <c r="O66" s="2" t="s">
        <v>16</v>
      </c>
    </row>
    <row r="67" ht="30" customHeight="1">
      <c r="A67">
        <v>452</v>
      </c>
      <c r="B67" s="1" t="s">
        <v>142</v>
      </c>
      <c r="C67">
        <v>1</v>
      </c>
      <c r="D67">
        <v>1</v>
      </c>
      <c r="E67">
        <v>1</v>
      </c>
      <c r="F67" s="9">
        <f t="shared" si="5"/>
        <v>1</v>
      </c>
      <c r="G67" s="9">
        <f t="shared" si="6"/>
        <v>3</v>
      </c>
      <c r="H67" s="9">
        <f t="shared" si="7"/>
        <v>2</v>
      </c>
      <c r="I67" s="9">
        <f t="shared" si="8"/>
        <v>2</v>
      </c>
      <c r="J67" s="9">
        <f t="shared" si="9"/>
        <v>2</v>
      </c>
      <c r="K67" s="9">
        <v>1</v>
      </c>
      <c r="L67" s="9">
        <v>1</v>
      </c>
      <c r="M67" s="2" t="s">
        <v>143</v>
      </c>
      <c r="N67" s="2" t="s">
        <v>144</v>
      </c>
      <c r="O67" s="2" t="s">
        <v>145</v>
      </c>
    </row>
    <row r="68" ht="30" customHeight="1">
      <c r="A68">
        <v>457</v>
      </c>
      <c r="B68" s="1" t="s">
        <v>146</v>
      </c>
      <c r="C68">
        <v>0</v>
      </c>
      <c r="D68">
        <v>0</v>
      </c>
      <c r="E68">
        <v>0</v>
      </c>
      <c r="F68" s="9">
        <f t="shared" si="5"/>
        <v>0</v>
      </c>
      <c r="G68" s="9">
        <f t="shared" si="6"/>
        <v>0</v>
      </c>
      <c r="H68" s="9">
        <f t="shared" si="7"/>
        <v>0</v>
      </c>
      <c r="I68" s="9">
        <f t="shared" si="8"/>
        <v>0</v>
      </c>
      <c r="J68" s="9">
        <f t="shared" si="9"/>
        <v>0</v>
      </c>
      <c r="K68" s="9">
        <v>1</v>
      </c>
      <c r="L68" s="9">
        <v>1</v>
      </c>
      <c r="M68" s="2" t="s">
        <v>16</v>
      </c>
      <c r="N68" s="2" t="s">
        <v>32</v>
      </c>
      <c r="O68" s="2" t="s">
        <v>16</v>
      </c>
    </row>
    <row r="69" ht="30" customHeight="1">
      <c r="A69">
        <v>460</v>
      </c>
      <c r="B69" s="1" t="s">
        <v>147</v>
      </c>
      <c r="C69">
        <v>1</v>
      </c>
      <c r="D69">
        <v>1</v>
      </c>
      <c r="E69">
        <v>1</v>
      </c>
      <c r="F69" s="9">
        <f t="shared" si="5"/>
        <v>1</v>
      </c>
      <c r="G69" s="9">
        <f t="shared" si="6"/>
        <v>3</v>
      </c>
      <c r="H69" s="9">
        <f t="shared" si="7"/>
        <v>2</v>
      </c>
      <c r="I69" s="9">
        <f t="shared" si="8"/>
        <v>2</v>
      </c>
      <c r="J69" s="9">
        <f t="shared" si="9"/>
        <v>2</v>
      </c>
      <c r="K69" s="9">
        <v>1</v>
      </c>
      <c r="L69" s="9">
        <v>1</v>
      </c>
      <c r="M69" s="2" t="s">
        <v>148</v>
      </c>
      <c r="N69" s="2" t="s">
        <v>149</v>
      </c>
      <c r="O69" s="2" t="s">
        <v>148</v>
      </c>
    </row>
    <row r="70" ht="30" customHeight="1">
      <c r="A70">
        <v>462</v>
      </c>
      <c r="B70" s="1" t="s">
        <v>150</v>
      </c>
      <c r="C70">
        <v>1</v>
      </c>
      <c r="D70">
        <v>1</v>
      </c>
      <c r="E70">
        <v>1</v>
      </c>
      <c r="F70" s="9">
        <f t="shared" si="5"/>
        <v>1</v>
      </c>
      <c r="G70" s="9">
        <f t="shared" si="6"/>
        <v>3</v>
      </c>
      <c r="H70" s="9">
        <f t="shared" si="7"/>
        <v>2</v>
      </c>
      <c r="I70" s="9">
        <f t="shared" si="8"/>
        <v>2</v>
      </c>
      <c r="J70" s="9">
        <f t="shared" si="9"/>
        <v>2</v>
      </c>
      <c r="K70" s="9">
        <v>1</v>
      </c>
      <c r="L70" s="9">
        <v>1</v>
      </c>
      <c r="M70" s="2" t="s">
        <v>151</v>
      </c>
      <c r="N70" s="2" t="s">
        <v>152</v>
      </c>
      <c r="O70" s="2" t="s">
        <v>151</v>
      </c>
    </row>
    <row r="71" ht="30" customHeight="1">
      <c r="A71">
        <v>467</v>
      </c>
      <c r="B71" s="1" t="s">
        <v>153</v>
      </c>
      <c r="C71">
        <v>0</v>
      </c>
      <c r="D71">
        <v>0</v>
      </c>
      <c r="E71">
        <v>0</v>
      </c>
      <c r="F71" s="9">
        <f t="shared" si="5"/>
        <v>0</v>
      </c>
      <c r="G71" s="9">
        <f t="shared" si="6"/>
        <v>0</v>
      </c>
      <c r="H71" s="9">
        <f t="shared" si="7"/>
        <v>0</v>
      </c>
      <c r="I71" s="9">
        <f t="shared" si="8"/>
        <v>0</v>
      </c>
      <c r="J71" s="9">
        <f t="shared" si="9"/>
        <v>0</v>
      </c>
      <c r="K71" s="9">
        <v>0</v>
      </c>
      <c r="L71" s="9">
        <v>0</v>
      </c>
      <c r="M71" s="2" t="s">
        <v>16</v>
      </c>
      <c r="N71" s="2" t="s">
        <v>32</v>
      </c>
      <c r="O71" s="2" t="s">
        <v>16</v>
      </c>
    </row>
    <row r="72" ht="30" customHeight="1">
      <c r="A72">
        <v>470</v>
      </c>
      <c r="B72" s="1" t="s">
        <v>154</v>
      </c>
      <c r="C72">
        <v>1</v>
      </c>
      <c r="D72">
        <v>1</v>
      </c>
      <c r="E72">
        <v>1</v>
      </c>
      <c r="F72" s="9">
        <f t="shared" si="5"/>
        <v>1</v>
      </c>
      <c r="G72" s="9">
        <f t="shared" si="6"/>
        <v>3</v>
      </c>
      <c r="H72" s="9">
        <f t="shared" si="7"/>
        <v>2</v>
      </c>
      <c r="I72" s="9">
        <f t="shared" si="8"/>
        <v>2</v>
      </c>
      <c r="J72" s="9">
        <f t="shared" si="9"/>
        <v>2</v>
      </c>
      <c r="K72" s="9">
        <v>1</v>
      </c>
      <c r="L72" s="9">
        <v>1</v>
      </c>
      <c r="M72" s="2" t="s">
        <v>155</v>
      </c>
      <c r="N72" s="2" t="s">
        <v>156</v>
      </c>
      <c r="O72" s="2" t="s">
        <v>157</v>
      </c>
    </row>
    <row r="73" ht="30" customHeight="1">
      <c r="A73">
        <v>475</v>
      </c>
      <c r="B73" s="1" t="s">
        <v>158</v>
      </c>
      <c r="C73">
        <v>1</v>
      </c>
      <c r="D73">
        <v>1</v>
      </c>
      <c r="E73">
        <v>0</v>
      </c>
      <c r="F73" s="9">
        <f t="shared" si="5"/>
        <v>1</v>
      </c>
      <c r="G73" s="9">
        <f t="shared" si="6"/>
        <v>2</v>
      </c>
      <c r="H73" s="9">
        <f t="shared" si="7"/>
        <v>2</v>
      </c>
      <c r="I73" s="9">
        <f t="shared" si="8"/>
        <v>1</v>
      </c>
      <c r="J73" s="9">
        <f t="shared" si="9"/>
        <v>1</v>
      </c>
      <c r="K73" s="9">
        <v>0</v>
      </c>
      <c r="L73" s="9">
        <v>0</v>
      </c>
      <c r="M73" s="2" t="s">
        <v>159</v>
      </c>
      <c r="N73" s="2" t="s">
        <v>160</v>
      </c>
      <c r="O73" s="2" t="s">
        <v>16</v>
      </c>
    </row>
    <row r="74" ht="30" customHeight="1">
      <c r="A74">
        <v>481</v>
      </c>
      <c r="B74" s="1" t="s">
        <v>161</v>
      </c>
      <c r="C74">
        <v>0</v>
      </c>
      <c r="D74">
        <v>0</v>
      </c>
      <c r="E74">
        <v>0</v>
      </c>
      <c r="F74" s="9">
        <f t="shared" ref="F74:F99" si="10">IF(SUM(C74,D74,E74)&gt;=2,1,0)</f>
        <v>0</v>
      </c>
      <c r="G74" s="9">
        <f t="shared" ref="G74:G99" si="11">SUM(C74:D74,E74)</f>
        <v>0</v>
      </c>
      <c r="H74" s="9">
        <f t="shared" ref="H74:H99" si="12">SUM(C74:D74)</f>
        <v>0</v>
      </c>
      <c r="I74" s="9">
        <f t="shared" ref="I74:I99" si="13">C74+E74</f>
        <v>0</v>
      </c>
      <c r="J74" s="9">
        <f t="shared" ref="J74:J99" si="14">D74+E74</f>
        <v>0</v>
      </c>
      <c r="K74" s="9">
        <v>0</v>
      </c>
      <c r="L74" s="9">
        <v>0</v>
      </c>
      <c r="M74" s="2" t="s">
        <v>16</v>
      </c>
      <c r="N74" s="2" t="s">
        <v>32</v>
      </c>
      <c r="O74" s="2" t="s">
        <v>16</v>
      </c>
    </row>
    <row r="75" ht="30" customHeight="1">
      <c r="A75">
        <v>482</v>
      </c>
      <c r="B75" s="1" t="s">
        <v>162</v>
      </c>
      <c r="C75">
        <v>0</v>
      </c>
      <c r="D75">
        <v>0</v>
      </c>
      <c r="E75">
        <v>0</v>
      </c>
      <c r="F75" s="9">
        <f t="shared" si="10"/>
        <v>0</v>
      </c>
      <c r="G75" s="9">
        <f t="shared" si="11"/>
        <v>0</v>
      </c>
      <c r="H75" s="9">
        <f t="shared" si="12"/>
        <v>0</v>
      </c>
      <c r="I75" s="9">
        <f t="shared" si="13"/>
        <v>0</v>
      </c>
      <c r="J75" s="9">
        <f t="shared" si="14"/>
        <v>0</v>
      </c>
      <c r="K75" s="9">
        <v>0</v>
      </c>
      <c r="L75" s="9">
        <v>0</v>
      </c>
      <c r="M75" s="2" t="s">
        <v>16</v>
      </c>
      <c r="N75" s="2" t="s">
        <v>32</v>
      </c>
      <c r="O75" s="2" t="s">
        <v>16</v>
      </c>
    </row>
    <row r="76" ht="30" customHeight="1">
      <c r="A76">
        <v>485</v>
      </c>
      <c r="B76" s="1" t="s">
        <v>163</v>
      </c>
      <c r="C76">
        <v>1</v>
      </c>
      <c r="D76">
        <v>1</v>
      </c>
      <c r="E76">
        <v>1</v>
      </c>
      <c r="F76" s="9">
        <f t="shared" si="10"/>
        <v>1</v>
      </c>
      <c r="G76" s="9">
        <f t="shared" si="11"/>
        <v>3</v>
      </c>
      <c r="H76" s="9">
        <f t="shared" si="12"/>
        <v>2</v>
      </c>
      <c r="I76" s="9">
        <f t="shared" si="13"/>
        <v>2</v>
      </c>
      <c r="J76" s="9">
        <f t="shared" si="14"/>
        <v>2</v>
      </c>
      <c r="K76" s="9">
        <v>1</v>
      </c>
      <c r="L76" s="9">
        <v>1</v>
      </c>
      <c r="M76" s="2" t="s">
        <v>164</v>
      </c>
      <c r="N76" s="2" t="s">
        <v>165</v>
      </c>
      <c r="O76" s="2" t="s">
        <v>164</v>
      </c>
    </row>
    <row r="77" ht="30" customHeight="1">
      <c r="A77">
        <v>490</v>
      </c>
      <c r="B77" s="1" t="s">
        <v>166</v>
      </c>
      <c r="C77">
        <v>0</v>
      </c>
      <c r="D77">
        <v>0</v>
      </c>
      <c r="E77">
        <v>0</v>
      </c>
      <c r="F77" s="9">
        <f t="shared" si="10"/>
        <v>0</v>
      </c>
      <c r="G77" s="9">
        <f t="shared" si="11"/>
        <v>0</v>
      </c>
      <c r="H77" s="9">
        <f t="shared" si="12"/>
        <v>0</v>
      </c>
      <c r="I77" s="9">
        <f t="shared" si="13"/>
        <v>0</v>
      </c>
      <c r="J77" s="9">
        <f t="shared" si="14"/>
        <v>0</v>
      </c>
      <c r="K77" s="9">
        <v>1</v>
      </c>
      <c r="L77" s="9">
        <v>1</v>
      </c>
      <c r="M77" s="2" t="s">
        <v>16</v>
      </c>
      <c r="N77" s="2" t="s">
        <v>32</v>
      </c>
      <c r="O77" s="2" t="s">
        <v>16</v>
      </c>
    </row>
    <row r="78" ht="30" customHeight="1">
      <c r="A78">
        <v>491</v>
      </c>
      <c r="B78" s="1" t="s">
        <v>167</v>
      </c>
      <c r="C78">
        <v>0</v>
      </c>
      <c r="D78">
        <v>0</v>
      </c>
      <c r="E78">
        <v>0</v>
      </c>
      <c r="F78" s="9">
        <f t="shared" si="10"/>
        <v>0</v>
      </c>
      <c r="G78" s="9">
        <f t="shared" si="11"/>
        <v>0</v>
      </c>
      <c r="H78" s="9">
        <f t="shared" si="12"/>
        <v>0</v>
      </c>
      <c r="I78" s="9">
        <f t="shared" si="13"/>
        <v>0</v>
      </c>
      <c r="J78" s="9">
        <f t="shared" si="14"/>
        <v>0</v>
      </c>
      <c r="K78" s="9">
        <v>1</v>
      </c>
      <c r="L78" s="9">
        <v>1</v>
      </c>
      <c r="M78" s="2" t="s">
        <v>16</v>
      </c>
      <c r="N78" s="2" t="s">
        <v>32</v>
      </c>
      <c r="O78" s="2" t="s">
        <v>16</v>
      </c>
    </row>
    <row r="79" ht="30" customHeight="1">
      <c r="A79">
        <v>492</v>
      </c>
      <c r="B79" s="1" t="s">
        <v>168</v>
      </c>
      <c r="C79">
        <v>1</v>
      </c>
      <c r="D79">
        <v>1</v>
      </c>
      <c r="E79">
        <v>1</v>
      </c>
      <c r="F79" s="9">
        <f t="shared" si="10"/>
        <v>1</v>
      </c>
      <c r="G79" s="9">
        <f t="shared" si="11"/>
        <v>3</v>
      </c>
      <c r="H79" s="9">
        <f t="shared" si="12"/>
        <v>2</v>
      </c>
      <c r="I79" s="9">
        <f t="shared" si="13"/>
        <v>2</v>
      </c>
      <c r="J79" s="9">
        <f t="shared" si="14"/>
        <v>2</v>
      </c>
      <c r="K79" s="9">
        <v>1</v>
      </c>
      <c r="L79" s="9">
        <v>1</v>
      </c>
      <c r="M79" s="2" t="s">
        <v>169</v>
      </c>
      <c r="N79" s="2" t="s">
        <v>170</v>
      </c>
      <c r="O79" s="2" t="s">
        <v>171</v>
      </c>
    </row>
    <row r="80" ht="30" customHeight="1">
      <c r="A80">
        <v>496</v>
      </c>
      <c r="B80" s="1" t="s">
        <v>172</v>
      </c>
      <c r="C80">
        <v>0</v>
      </c>
      <c r="D80">
        <v>0</v>
      </c>
      <c r="E80">
        <v>0</v>
      </c>
      <c r="F80" s="9">
        <f t="shared" si="10"/>
        <v>0</v>
      </c>
      <c r="G80" s="9">
        <f t="shared" si="11"/>
        <v>0</v>
      </c>
      <c r="H80" s="9">
        <f t="shared" si="12"/>
        <v>0</v>
      </c>
      <c r="I80" s="9">
        <f t="shared" si="13"/>
        <v>0</v>
      </c>
      <c r="J80" s="9">
        <f t="shared" si="14"/>
        <v>0</v>
      </c>
      <c r="K80" s="9">
        <v>0</v>
      </c>
      <c r="L80" s="9">
        <v>0</v>
      </c>
      <c r="M80" s="2" t="s">
        <v>16</v>
      </c>
      <c r="N80" s="2" t="s">
        <v>32</v>
      </c>
      <c r="O80" s="2" t="s">
        <v>16</v>
      </c>
    </row>
    <row r="81" ht="30" customHeight="1">
      <c r="A81">
        <v>503</v>
      </c>
      <c r="B81" s="1" t="s">
        <v>173</v>
      </c>
      <c r="C81">
        <v>0</v>
      </c>
      <c r="D81">
        <v>0</v>
      </c>
      <c r="E81">
        <v>0</v>
      </c>
      <c r="F81" s="9">
        <f t="shared" si="10"/>
        <v>0</v>
      </c>
      <c r="G81" s="9">
        <f t="shared" si="11"/>
        <v>0</v>
      </c>
      <c r="H81" s="9">
        <f t="shared" si="12"/>
        <v>0</v>
      </c>
      <c r="I81" s="9">
        <f t="shared" si="13"/>
        <v>0</v>
      </c>
      <c r="J81" s="9">
        <f t="shared" si="14"/>
        <v>0</v>
      </c>
      <c r="K81" s="9">
        <v>0</v>
      </c>
      <c r="L81" s="9">
        <v>0</v>
      </c>
      <c r="M81" s="2" t="s">
        <v>16</v>
      </c>
      <c r="N81" s="2" t="s">
        <v>32</v>
      </c>
      <c r="O81" s="2" t="s">
        <v>16</v>
      </c>
    </row>
    <row r="82" ht="30" customHeight="1">
      <c r="A82">
        <v>508</v>
      </c>
      <c r="B82" s="1" t="s">
        <v>174</v>
      </c>
      <c r="C82">
        <v>0</v>
      </c>
      <c r="D82">
        <v>0</v>
      </c>
      <c r="E82">
        <v>0</v>
      </c>
      <c r="F82" s="9">
        <f t="shared" si="10"/>
        <v>0</v>
      </c>
      <c r="G82" s="9">
        <f t="shared" si="11"/>
        <v>0</v>
      </c>
      <c r="H82" s="9">
        <f t="shared" si="12"/>
        <v>0</v>
      </c>
      <c r="I82" s="9">
        <f t="shared" si="13"/>
        <v>0</v>
      </c>
      <c r="J82" s="9">
        <f t="shared" si="14"/>
        <v>0</v>
      </c>
      <c r="K82" s="9">
        <v>0</v>
      </c>
      <c r="L82" s="9">
        <v>0</v>
      </c>
      <c r="M82" s="2" t="s">
        <v>16</v>
      </c>
      <c r="N82" s="2" t="s">
        <v>32</v>
      </c>
      <c r="O82" s="2" t="s">
        <v>16</v>
      </c>
    </row>
    <row r="83" ht="30" customHeight="1">
      <c r="A83">
        <v>509</v>
      </c>
      <c r="B83" s="1" t="s">
        <v>175</v>
      </c>
      <c r="C83">
        <v>0</v>
      </c>
      <c r="D83">
        <v>0</v>
      </c>
      <c r="E83">
        <v>0</v>
      </c>
      <c r="F83" s="9">
        <f t="shared" si="10"/>
        <v>0</v>
      </c>
      <c r="G83" s="9">
        <f t="shared" si="11"/>
        <v>0</v>
      </c>
      <c r="H83" s="9">
        <f t="shared" si="12"/>
        <v>0</v>
      </c>
      <c r="I83" s="9">
        <f t="shared" si="13"/>
        <v>0</v>
      </c>
      <c r="J83" s="9">
        <f t="shared" si="14"/>
        <v>0</v>
      </c>
      <c r="K83" s="9">
        <v>0</v>
      </c>
      <c r="L83" s="9">
        <v>0</v>
      </c>
      <c r="M83" s="2" t="s">
        <v>16</v>
      </c>
      <c r="N83" s="2" t="s">
        <v>32</v>
      </c>
      <c r="O83" s="2" t="s">
        <v>16</v>
      </c>
    </row>
    <row r="84" ht="30" customHeight="1">
      <c r="A84">
        <v>525</v>
      </c>
      <c r="B84" s="1" t="s">
        <v>176</v>
      </c>
      <c r="C84">
        <v>0</v>
      </c>
      <c r="D84">
        <v>0</v>
      </c>
      <c r="E84">
        <v>0</v>
      </c>
      <c r="F84" s="9">
        <f t="shared" si="10"/>
        <v>0</v>
      </c>
      <c r="G84" s="9">
        <f t="shared" si="11"/>
        <v>0</v>
      </c>
      <c r="H84" s="9">
        <f t="shared" si="12"/>
        <v>0</v>
      </c>
      <c r="I84" s="9">
        <f t="shared" si="13"/>
        <v>0</v>
      </c>
      <c r="J84" s="9">
        <f t="shared" si="14"/>
        <v>0</v>
      </c>
      <c r="K84" s="9">
        <v>0</v>
      </c>
      <c r="L84" s="9">
        <v>0</v>
      </c>
      <c r="M84" s="2" t="s">
        <v>16</v>
      </c>
      <c r="N84" s="2" t="s">
        <v>32</v>
      </c>
      <c r="O84" s="2" t="s">
        <v>16</v>
      </c>
    </row>
    <row r="85" ht="30" customHeight="1">
      <c r="A85">
        <v>527</v>
      </c>
      <c r="B85" s="1" t="s">
        <v>177</v>
      </c>
      <c r="C85">
        <v>0</v>
      </c>
      <c r="D85">
        <v>0</v>
      </c>
      <c r="E85">
        <v>0</v>
      </c>
      <c r="F85" s="9">
        <f t="shared" si="10"/>
        <v>0</v>
      </c>
      <c r="G85" s="9">
        <f t="shared" si="11"/>
        <v>0</v>
      </c>
      <c r="H85" s="9">
        <f t="shared" si="12"/>
        <v>0</v>
      </c>
      <c r="I85" s="9">
        <f t="shared" si="13"/>
        <v>0</v>
      </c>
      <c r="J85" s="9">
        <f t="shared" si="14"/>
        <v>0</v>
      </c>
      <c r="K85" s="9">
        <v>0</v>
      </c>
      <c r="L85" s="9">
        <v>0</v>
      </c>
      <c r="M85" s="2" t="s">
        <v>16</v>
      </c>
      <c r="N85" s="2" t="s">
        <v>32</v>
      </c>
      <c r="O85" s="2" t="s">
        <v>16</v>
      </c>
    </row>
    <row r="86" ht="30" customHeight="1">
      <c r="A86">
        <v>532</v>
      </c>
      <c r="B86" s="1" t="s">
        <v>178</v>
      </c>
      <c r="C86">
        <v>0</v>
      </c>
      <c r="D86">
        <v>0</v>
      </c>
      <c r="E86">
        <v>0</v>
      </c>
      <c r="F86" s="9">
        <f t="shared" si="10"/>
        <v>0</v>
      </c>
      <c r="G86" s="9">
        <f t="shared" si="11"/>
        <v>0</v>
      </c>
      <c r="H86" s="9">
        <f t="shared" si="12"/>
        <v>0</v>
      </c>
      <c r="I86" s="9">
        <f t="shared" si="13"/>
        <v>0</v>
      </c>
      <c r="J86" s="9">
        <f t="shared" si="14"/>
        <v>0</v>
      </c>
      <c r="K86" s="9">
        <v>0</v>
      </c>
      <c r="L86" s="9">
        <v>0</v>
      </c>
      <c r="M86" s="2" t="s">
        <v>16</v>
      </c>
      <c r="N86" s="2" t="s">
        <v>32</v>
      </c>
      <c r="O86" s="2" t="s">
        <v>16</v>
      </c>
    </row>
    <row r="87" ht="30" customHeight="1">
      <c r="A87">
        <v>534</v>
      </c>
      <c r="B87" s="1" t="s">
        <v>179</v>
      </c>
      <c r="C87">
        <v>1</v>
      </c>
      <c r="D87">
        <v>1</v>
      </c>
      <c r="E87">
        <v>0</v>
      </c>
      <c r="F87" s="9">
        <f t="shared" si="10"/>
        <v>1</v>
      </c>
      <c r="G87" s="9">
        <f t="shared" si="11"/>
        <v>2</v>
      </c>
      <c r="H87" s="9">
        <f t="shared" si="12"/>
        <v>2</v>
      </c>
      <c r="I87" s="9">
        <f t="shared" si="13"/>
        <v>1</v>
      </c>
      <c r="J87" s="9">
        <f t="shared" si="14"/>
        <v>1</v>
      </c>
      <c r="K87" s="9">
        <v>0</v>
      </c>
      <c r="L87" s="9">
        <v>0</v>
      </c>
      <c r="M87" s="2" t="s">
        <v>180</v>
      </c>
      <c r="N87" s="2" t="s">
        <v>181</v>
      </c>
      <c r="O87" s="2" t="s">
        <v>16</v>
      </c>
    </row>
    <row r="88" ht="30" customHeight="1">
      <c r="A88">
        <v>535</v>
      </c>
      <c r="B88" s="1" t="s">
        <v>182</v>
      </c>
      <c r="C88">
        <v>0</v>
      </c>
      <c r="D88">
        <v>0</v>
      </c>
      <c r="E88">
        <v>0</v>
      </c>
      <c r="F88" s="9">
        <f t="shared" si="10"/>
        <v>0</v>
      </c>
      <c r="G88" s="9">
        <f t="shared" si="11"/>
        <v>0</v>
      </c>
      <c r="H88" s="9">
        <f t="shared" si="12"/>
        <v>0</v>
      </c>
      <c r="I88" s="9">
        <f t="shared" si="13"/>
        <v>0</v>
      </c>
      <c r="J88" s="9">
        <f t="shared" si="14"/>
        <v>0</v>
      </c>
      <c r="K88" s="9">
        <v>0</v>
      </c>
      <c r="L88" s="9">
        <v>0</v>
      </c>
      <c r="M88" s="2" t="s">
        <v>16</v>
      </c>
      <c r="N88" s="2" t="s">
        <v>32</v>
      </c>
      <c r="O88" s="2" t="s">
        <v>16</v>
      </c>
    </row>
    <row r="89" ht="30" customHeight="1">
      <c r="A89">
        <v>538</v>
      </c>
      <c r="B89" s="1" t="s">
        <v>183</v>
      </c>
      <c r="C89">
        <v>0</v>
      </c>
      <c r="D89">
        <v>1</v>
      </c>
      <c r="E89">
        <v>0</v>
      </c>
      <c r="F89" s="9">
        <f t="shared" si="10"/>
        <v>0</v>
      </c>
      <c r="G89" s="9">
        <f t="shared" si="11"/>
        <v>1</v>
      </c>
      <c r="H89" s="9">
        <f t="shared" si="12"/>
        <v>1</v>
      </c>
      <c r="I89" s="9">
        <f t="shared" si="13"/>
        <v>0</v>
      </c>
      <c r="J89" s="9">
        <f t="shared" si="14"/>
        <v>1</v>
      </c>
      <c r="K89" s="9">
        <v>0</v>
      </c>
      <c r="L89" s="9">
        <v>0</v>
      </c>
      <c r="M89" s="2" t="s">
        <v>16</v>
      </c>
      <c r="N89" s="2" t="s">
        <v>184</v>
      </c>
      <c r="O89" s="2" t="s">
        <v>16</v>
      </c>
    </row>
    <row r="90" ht="30" customHeight="1">
      <c r="A90">
        <v>540</v>
      </c>
      <c r="B90" s="1" t="s">
        <v>185</v>
      </c>
      <c r="C90">
        <v>0</v>
      </c>
      <c r="D90">
        <v>0</v>
      </c>
      <c r="E90">
        <v>0</v>
      </c>
      <c r="F90" s="9">
        <f t="shared" si="10"/>
        <v>0</v>
      </c>
      <c r="G90" s="9">
        <f t="shared" si="11"/>
        <v>0</v>
      </c>
      <c r="H90" s="9">
        <f t="shared" si="12"/>
        <v>0</v>
      </c>
      <c r="I90" s="9">
        <f t="shared" si="13"/>
        <v>0</v>
      </c>
      <c r="J90" s="9">
        <f t="shared" si="14"/>
        <v>0</v>
      </c>
      <c r="K90" s="9">
        <v>0</v>
      </c>
      <c r="L90" s="9">
        <v>0</v>
      </c>
      <c r="M90" s="2" t="s">
        <v>16</v>
      </c>
      <c r="N90" s="2" t="s">
        <v>32</v>
      </c>
      <c r="O90" s="2" t="s">
        <v>16</v>
      </c>
    </row>
    <row r="91" ht="30" customHeight="1">
      <c r="A91">
        <v>550</v>
      </c>
      <c r="B91" s="1" t="s">
        <v>186</v>
      </c>
      <c r="C91">
        <v>1</v>
      </c>
      <c r="D91">
        <v>1</v>
      </c>
      <c r="E91">
        <v>1</v>
      </c>
      <c r="F91" s="9">
        <f t="shared" si="10"/>
        <v>1</v>
      </c>
      <c r="G91" s="9">
        <f t="shared" si="11"/>
        <v>3</v>
      </c>
      <c r="H91" s="9">
        <f t="shared" si="12"/>
        <v>2</v>
      </c>
      <c r="I91" s="9">
        <f t="shared" si="13"/>
        <v>2</v>
      </c>
      <c r="J91" s="9">
        <f t="shared" si="14"/>
        <v>2</v>
      </c>
      <c r="K91" s="9">
        <v>1</v>
      </c>
      <c r="L91" s="9">
        <v>1</v>
      </c>
      <c r="M91" s="2" t="s">
        <v>187</v>
      </c>
      <c r="N91" s="2" t="s">
        <v>188</v>
      </c>
      <c r="O91" s="2" t="s">
        <v>189</v>
      </c>
    </row>
    <row r="92" ht="30" customHeight="1">
      <c r="A92">
        <v>558</v>
      </c>
      <c r="B92" s="1" t="s">
        <v>190</v>
      </c>
      <c r="C92">
        <v>1</v>
      </c>
      <c r="D92">
        <v>0</v>
      </c>
      <c r="E92">
        <v>0</v>
      </c>
      <c r="F92" s="9">
        <f t="shared" si="10"/>
        <v>0</v>
      </c>
      <c r="G92" s="9">
        <f t="shared" si="11"/>
        <v>1</v>
      </c>
      <c r="H92" s="9">
        <f t="shared" si="12"/>
        <v>1</v>
      </c>
      <c r="I92" s="9">
        <f t="shared" si="13"/>
        <v>1</v>
      </c>
      <c r="J92" s="9">
        <f t="shared" si="14"/>
        <v>0</v>
      </c>
      <c r="K92" s="9">
        <v>1</v>
      </c>
      <c r="L92" s="9">
        <v>1</v>
      </c>
      <c r="M92" s="2" t="s">
        <v>189</v>
      </c>
      <c r="N92" s="2" t="s">
        <v>32</v>
      </c>
      <c r="O92" s="2" t="s">
        <v>16</v>
      </c>
    </row>
    <row r="93" ht="30" customHeight="1">
      <c r="A93">
        <v>559</v>
      </c>
      <c r="B93" s="1" t="s">
        <v>191</v>
      </c>
      <c r="C93">
        <v>0</v>
      </c>
      <c r="D93">
        <v>0</v>
      </c>
      <c r="E93">
        <v>0</v>
      </c>
      <c r="F93" s="9">
        <f t="shared" si="10"/>
        <v>0</v>
      </c>
      <c r="G93" s="9">
        <f t="shared" si="11"/>
        <v>0</v>
      </c>
      <c r="H93" s="9">
        <f t="shared" si="12"/>
        <v>0</v>
      </c>
      <c r="I93" s="9">
        <f t="shared" si="13"/>
        <v>0</v>
      </c>
      <c r="J93" s="9">
        <f t="shared" si="14"/>
        <v>0</v>
      </c>
      <c r="K93" s="9">
        <v>1</v>
      </c>
      <c r="L93" s="9">
        <v>1</v>
      </c>
      <c r="M93" s="2" t="s">
        <v>16</v>
      </c>
      <c r="N93" s="2" t="s">
        <v>32</v>
      </c>
      <c r="O93" s="2" t="s">
        <v>16</v>
      </c>
    </row>
    <row r="94" ht="30" customHeight="1">
      <c r="A94">
        <v>563</v>
      </c>
      <c r="B94" s="1" t="s">
        <v>192</v>
      </c>
      <c r="C94">
        <v>0</v>
      </c>
      <c r="D94">
        <v>0</v>
      </c>
      <c r="E94">
        <v>0</v>
      </c>
      <c r="F94" s="9">
        <f t="shared" si="10"/>
        <v>0</v>
      </c>
      <c r="G94" s="9">
        <f t="shared" si="11"/>
        <v>0</v>
      </c>
      <c r="H94" s="9">
        <f t="shared" si="12"/>
        <v>0</v>
      </c>
      <c r="I94" s="9">
        <f t="shared" si="13"/>
        <v>0</v>
      </c>
      <c r="J94" s="9">
        <f t="shared" si="14"/>
        <v>0</v>
      </c>
      <c r="K94" s="9">
        <v>1</v>
      </c>
      <c r="L94" s="9">
        <v>1</v>
      </c>
      <c r="M94" s="2" t="s">
        <v>16</v>
      </c>
      <c r="N94" s="2" t="s">
        <v>32</v>
      </c>
      <c r="O94" s="2" t="s">
        <v>16</v>
      </c>
    </row>
    <row r="95" ht="30" customHeight="1">
      <c r="A95">
        <v>565</v>
      </c>
      <c r="B95" s="1" t="s">
        <v>193</v>
      </c>
      <c r="C95">
        <v>0</v>
      </c>
      <c r="D95">
        <v>1</v>
      </c>
      <c r="E95">
        <v>1</v>
      </c>
      <c r="F95" s="9">
        <f t="shared" si="10"/>
        <v>1</v>
      </c>
      <c r="G95" s="9">
        <f t="shared" si="11"/>
        <v>2</v>
      </c>
      <c r="H95" s="9">
        <f t="shared" si="12"/>
        <v>1</v>
      </c>
      <c r="I95" s="9">
        <f t="shared" si="13"/>
        <v>1</v>
      </c>
      <c r="J95" s="9">
        <f t="shared" si="14"/>
        <v>2</v>
      </c>
      <c r="K95" s="9">
        <v>1</v>
      </c>
      <c r="L95" s="9">
        <v>1</v>
      </c>
      <c r="M95" s="2" t="s">
        <v>16</v>
      </c>
      <c r="N95" s="2" t="s">
        <v>194</v>
      </c>
      <c r="O95" s="2" t="s">
        <v>195</v>
      </c>
    </row>
    <row r="96" ht="30" customHeight="1">
      <c r="A96">
        <v>567</v>
      </c>
      <c r="B96" s="1" t="s">
        <v>196</v>
      </c>
      <c r="C96">
        <v>0</v>
      </c>
      <c r="D96">
        <v>0</v>
      </c>
      <c r="E96">
        <v>0</v>
      </c>
      <c r="F96" s="9">
        <f t="shared" si="10"/>
        <v>0</v>
      </c>
      <c r="G96" s="9">
        <f t="shared" si="11"/>
        <v>0</v>
      </c>
      <c r="H96" s="9">
        <f t="shared" si="12"/>
        <v>0</v>
      </c>
      <c r="I96" s="9">
        <f t="shared" si="13"/>
        <v>0</v>
      </c>
      <c r="J96" s="9">
        <f t="shared" si="14"/>
        <v>0</v>
      </c>
      <c r="K96" s="9">
        <v>1</v>
      </c>
      <c r="L96" s="9">
        <v>1</v>
      </c>
      <c r="M96" s="2" t="s">
        <v>16</v>
      </c>
      <c r="N96" s="2" t="s">
        <v>32</v>
      </c>
      <c r="O96" s="2" t="s">
        <v>16</v>
      </c>
    </row>
    <row r="97" ht="30" customHeight="1">
      <c r="A97">
        <v>570</v>
      </c>
      <c r="B97" s="1" t="s">
        <v>197</v>
      </c>
      <c r="C97">
        <v>0</v>
      </c>
      <c r="D97">
        <v>1</v>
      </c>
      <c r="E97">
        <v>0</v>
      </c>
      <c r="F97" s="9">
        <f t="shared" si="10"/>
        <v>0</v>
      </c>
      <c r="G97" s="9">
        <f t="shared" si="11"/>
        <v>1</v>
      </c>
      <c r="H97" s="9">
        <f t="shared" si="12"/>
        <v>1</v>
      </c>
      <c r="I97" s="9">
        <f t="shared" si="13"/>
        <v>0</v>
      </c>
      <c r="J97" s="9">
        <f t="shared" si="14"/>
        <v>1</v>
      </c>
      <c r="K97" s="9">
        <v>1</v>
      </c>
      <c r="L97" s="9">
        <v>1</v>
      </c>
      <c r="M97" s="2" t="s">
        <v>16</v>
      </c>
      <c r="N97" s="2" t="s">
        <v>198</v>
      </c>
      <c r="O97" s="2" t="s">
        <v>16</v>
      </c>
    </row>
    <row r="98" ht="30" customHeight="1">
      <c r="A98">
        <v>571</v>
      </c>
      <c r="B98" s="1" t="s">
        <v>199</v>
      </c>
      <c r="C98">
        <v>0</v>
      </c>
      <c r="D98">
        <v>0</v>
      </c>
      <c r="E98">
        <v>0</v>
      </c>
      <c r="F98" s="9">
        <f t="shared" si="10"/>
        <v>0</v>
      </c>
      <c r="G98" s="9">
        <f t="shared" si="11"/>
        <v>0</v>
      </c>
      <c r="H98" s="9">
        <f t="shared" si="12"/>
        <v>0</v>
      </c>
      <c r="I98" s="9">
        <f t="shared" si="13"/>
        <v>0</v>
      </c>
      <c r="J98" s="9">
        <f t="shared" si="14"/>
        <v>0</v>
      </c>
      <c r="K98" s="9">
        <v>0</v>
      </c>
      <c r="L98" s="9">
        <v>0</v>
      </c>
      <c r="M98" s="2" t="s">
        <v>16</v>
      </c>
      <c r="N98" s="2" t="s">
        <v>32</v>
      </c>
      <c r="O98" s="2" t="s">
        <v>16</v>
      </c>
    </row>
    <row r="99" ht="30" customHeight="1">
      <c r="A99">
        <v>575</v>
      </c>
      <c r="B99" s="1" t="s">
        <v>200</v>
      </c>
      <c r="C99">
        <v>0</v>
      </c>
      <c r="D99">
        <v>0</v>
      </c>
      <c r="E99">
        <v>0</v>
      </c>
      <c r="F99" s="9">
        <f t="shared" si="10"/>
        <v>0</v>
      </c>
      <c r="G99" s="9">
        <f t="shared" si="11"/>
        <v>0</v>
      </c>
      <c r="H99" s="9">
        <f t="shared" si="12"/>
        <v>0</v>
      </c>
      <c r="I99" s="9">
        <f t="shared" si="13"/>
        <v>0</v>
      </c>
      <c r="J99" s="9">
        <f t="shared" si="14"/>
        <v>0</v>
      </c>
      <c r="K99" s="9">
        <v>1</v>
      </c>
      <c r="L99" s="9">
        <v>1</v>
      </c>
      <c r="M99" s="2" t="s">
        <v>16</v>
      </c>
      <c r="N99" s="2" t="s">
        <v>32</v>
      </c>
      <c r="O99" s="2" t="s">
        <v>16</v>
      </c>
    </row>
    <row r="100" ht="30" customHeight="1">
      <c r="A100">
        <v>577</v>
      </c>
      <c r="B100" s="1" t="s">
        <v>201</v>
      </c>
      <c r="C100">
        <v>0</v>
      </c>
      <c r="D100">
        <v>1</v>
      </c>
      <c r="E100">
        <v>1</v>
      </c>
      <c r="F100" s="9">
        <f t="shared" ref="F100:F163" si="15">IF(SUM(C100,D100,E100)&gt;=2,1,0)</f>
        <v>1</v>
      </c>
      <c r="G100" s="9">
        <f t="shared" ref="G100:G163" si="16">SUM(C100:D100,E100)</f>
        <v>2</v>
      </c>
      <c r="H100" s="9">
        <f t="shared" ref="H100:H163" si="17">SUM(C100:D100)</f>
        <v>1</v>
      </c>
      <c r="I100" s="9">
        <f t="shared" ref="I100:I163" si="18">C100+E100</f>
        <v>1</v>
      </c>
      <c r="J100" s="9">
        <f t="shared" ref="J100:J163" si="19">D100+E100</f>
        <v>2</v>
      </c>
      <c r="K100" s="9">
        <v>1</v>
      </c>
      <c r="L100" s="9">
        <v>1</v>
      </c>
      <c r="M100" s="2" t="s">
        <v>16</v>
      </c>
      <c r="N100" s="2" t="s">
        <v>202</v>
      </c>
      <c r="O100" s="2" t="s">
        <v>203</v>
      </c>
    </row>
    <row r="101" ht="30" customHeight="1">
      <c r="A101">
        <v>586</v>
      </c>
      <c r="B101" s="1" t="s">
        <v>204</v>
      </c>
      <c r="C101">
        <v>0</v>
      </c>
      <c r="D101">
        <v>0</v>
      </c>
      <c r="E101">
        <v>0</v>
      </c>
      <c r="F101" s="9">
        <f t="shared" si="15"/>
        <v>0</v>
      </c>
      <c r="G101" s="9">
        <f t="shared" si="16"/>
        <v>0</v>
      </c>
      <c r="H101" s="9">
        <f t="shared" si="17"/>
        <v>0</v>
      </c>
      <c r="I101" s="9">
        <f t="shared" si="18"/>
        <v>0</v>
      </c>
      <c r="J101" s="9">
        <f t="shared" si="19"/>
        <v>0</v>
      </c>
      <c r="K101" s="9">
        <v>0</v>
      </c>
      <c r="L101" s="9">
        <v>0</v>
      </c>
      <c r="M101" s="2" t="s">
        <v>16</v>
      </c>
      <c r="N101" s="2" t="s">
        <v>32</v>
      </c>
      <c r="O101" s="2" t="s">
        <v>16</v>
      </c>
    </row>
    <row r="102" ht="30" customHeight="1">
      <c r="A102">
        <v>600</v>
      </c>
      <c r="B102" s="1" t="s">
        <v>205</v>
      </c>
      <c r="C102">
        <v>0</v>
      </c>
      <c r="D102">
        <v>1</v>
      </c>
      <c r="E102">
        <v>1</v>
      </c>
      <c r="F102" s="9">
        <f t="shared" si="15"/>
        <v>1</v>
      </c>
      <c r="G102" s="9">
        <f t="shared" si="16"/>
        <v>2</v>
      </c>
      <c r="H102" s="9">
        <f t="shared" si="17"/>
        <v>1</v>
      </c>
      <c r="I102" s="9">
        <f t="shared" si="18"/>
        <v>1</v>
      </c>
      <c r="J102" s="9">
        <f t="shared" si="19"/>
        <v>2</v>
      </c>
      <c r="K102" s="9">
        <v>1</v>
      </c>
      <c r="L102" s="9">
        <v>1</v>
      </c>
      <c r="M102" s="2" t="s">
        <v>16</v>
      </c>
      <c r="N102" s="2" t="s">
        <v>206</v>
      </c>
      <c r="O102" s="2" t="s">
        <v>180</v>
      </c>
    </row>
    <row r="103" ht="30" customHeight="1">
      <c r="A103">
        <v>601</v>
      </c>
      <c r="B103" s="1" t="s">
        <v>207</v>
      </c>
      <c r="C103">
        <v>0</v>
      </c>
      <c r="D103">
        <v>1</v>
      </c>
      <c r="E103">
        <v>1</v>
      </c>
      <c r="F103" s="9">
        <f t="shared" si="15"/>
        <v>1</v>
      </c>
      <c r="G103" s="9">
        <f t="shared" si="16"/>
        <v>2</v>
      </c>
      <c r="H103" s="9">
        <f t="shared" si="17"/>
        <v>1</v>
      </c>
      <c r="I103" s="9">
        <f t="shared" si="18"/>
        <v>1</v>
      </c>
      <c r="J103" s="9">
        <f t="shared" si="19"/>
        <v>2</v>
      </c>
      <c r="K103" s="9">
        <v>1</v>
      </c>
      <c r="L103" s="9">
        <v>1</v>
      </c>
      <c r="M103" s="2" t="s">
        <v>16</v>
      </c>
      <c r="N103" s="2" t="s">
        <v>208</v>
      </c>
      <c r="O103" s="2" t="s">
        <v>209</v>
      </c>
    </row>
    <row r="104" ht="30" customHeight="1">
      <c r="A104">
        <v>608</v>
      </c>
      <c r="B104" s="1" t="s">
        <v>210</v>
      </c>
      <c r="C104">
        <v>0</v>
      </c>
      <c r="D104">
        <v>0</v>
      </c>
      <c r="E104">
        <v>0</v>
      </c>
      <c r="F104" s="9">
        <f t="shared" si="15"/>
        <v>0</v>
      </c>
      <c r="G104" s="9">
        <f t="shared" si="16"/>
        <v>0</v>
      </c>
      <c r="H104" s="9">
        <f t="shared" si="17"/>
        <v>0</v>
      </c>
      <c r="I104" s="9">
        <f t="shared" si="18"/>
        <v>0</v>
      </c>
      <c r="J104" s="9">
        <f t="shared" si="19"/>
        <v>0</v>
      </c>
      <c r="K104" s="9">
        <v>0</v>
      </c>
      <c r="L104" s="9">
        <v>0</v>
      </c>
      <c r="M104" s="2" t="s">
        <v>16</v>
      </c>
      <c r="N104" s="2" t="s">
        <v>32</v>
      </c>
      <c r="O104" s="2" t="s">
        <v>16</v>
      </c>
    </row>
    <row r="105" ht="30" customHeight="1">
      <c r="A105">
        <v>609</v>
      </c>
      <c r="B105" s="1" t="s">
        <v>211</v>
      </c>
      <c r="C105">
        <v>0</v>
      </c>
      <c r="D105">
        <v>0</v>
      </c>
      <c r="E105">
        <v>0</v>
      </c>
      <c r="F105" s="9">
        <f t="shared" si="15"/>
        <v>0</v>
      </c>
      <c r="G105" s="9">
        <f t="shared" si="16"/>
        <v>0</v>
      </c>
      <c r="H105" s="9">
        <f t="shared" si="17"/>
        <v>0</v>
      </c>
      <c r="I105" s="9">
        <f t="shared" si="18"/>
        <v>0</v>
      </c>
      <c r="J105" s="9">
        <f t="shared" si="19"/>
        <v>0</v>
      </c>
      <c r="K105" s="9">
        <v>0</v>
      </c>
      <c r="L105" s="9">
        <v>0</v>
      </c>
      <c r="M105" s="2" t="s">
        <v>16</v>
      </c>
      <c r="N105" s="2" t="s">
        <v>32</v>
      </c>
      <c r="O105" s="2" t="s">
        <v>16</v>
      </c>
    </row>
    <row r="106" ht="30" customHeight="1">
      <c r="A106">
        <v>610</v>
      </c>
      <c r="B106" s="1" t="s">
        <v>212</v>
      </c>
      <c r="C106">
        <v>0</v>
      </c>
      <c r="D106">
        <v>0</v>
      </c>
      <c r="E106">
        <v>0</v>
      </c>
      <c r="F106" s="9">
        <f t="shared" si="15"/>
        <v>0</v>
      </c>
      <c r="G106" s="9">
        <f t="shared" si="16"/>
        <v>0</v>
      </c>
      <c r="H106" s="9">
        <f t="shared" si="17"/>
        <v>0</v>
      </c>
      <c r="I106" s="9">
        <f t="shared" si="18"/>
        <v>0</v>
      </c>
      <c r="J106" s="9">
        <f t="shared" si="19"/>
        <v>0</v>
      </c>
      <c r="K106" s="9">
        <v>1</v>
      </c>
      <c r="L106" s="9">
        <v>1</v>
      </c>
      <c r="M106" s="2" t="s">
        <v>16</v>
      </c>
      <c r="N106" s="2" t="s">
        <v>32</v>
      </c>
      <c r="O106" s="2" t="s">
        <v>16</v>
      </c>
    </row>
    <row r="107" ht="30" customHeight="1">
      <c r="A107">
        <v>614</v>
      </c>
      <c r="B107" s="1" t="s">
        <v>213</v>
      </c>
      <c r="C107">
        <v>0</v>
      </c>
      <c r="D107">
        <v>0</v>
      </c>
      <c r="E107">
        <v>0</v>
      </c>
      <c r="F107" s="9">
        <f t="shared" si="15"/>
        <v>0</v>
      </c>
      <c r="G107" s="9">
        <f t="shared" si="16"/>
        <v>0</v>
      </c>
      <c r="H107" s="9">
        <f t="shared" si="17"/>
        <v>0</v>
      </c>
      <c r="I107" s="9">
        <f t="shared" si="18"/>
        <v>0</v>
      </c>
      <c r="J107" s="9">
        <f t="shared" si="19"/>
        <v>0</v>
      </c>
      <c r="K107" s="9">
        <v>0</v>
      </c>
      <c r="L107" s="9">
        <v>0</v>
      </c>
      <c r="M107" s="2" t="s">
        <v>16</v>
      </c>
      <c r="N107" s="2" t="s">
        <v>32</v>
      </c>
      <c r="O107" s="2" t="s">
        <v>16</v>
      </c>
    </row>
    <row r="108" ht="30" customHeight="1">
      <c r="A108">
        <v>617</v>
      </c>
      <c r="B108" s="1" t="s">
        <v>214</v>
      </c>
      <c r="C108">
        <v>1</v>
      </c>
      <c r="D108">
        <v>0</v>
      </c>
      <c r="E108">
        <v>0</v>
      </c>
      <c r="F108" s="9">
        <f t="shared" si="15"/>
        <v>0</v>
      </c>
      <c r="G108" s="9">
        <f t="shared" si="16"/>
        <v>1</v>
      </c>
      <c r="H108" s="9">
        <f t="shared" si="17"/>
        <v>1</v>
      </c>
      <c r="I108" s="9">
        <f t="shared" si="18"/>
        <v>1</v>
      </c>
      <c r="J108" s="9">
        <f t="shared" si="19"/>
        <v>0</v>
      </c>
      <c r="K108" s="9">
        <v>0</v>
      </c>
      <c r="L108" s="9">
        <v>0</v>
      </c>
      <c r="M108" s="2" t="s">
        <v>215</v>
      </c>
      <c r="N108" s="2" t="s">
        <v>32</v>
      </c>
      <c r="O108" s="2" t="s">
        <v>16</v>
      </c>
    </row>
    <row r="109" ht="30" customHeight="1">
      <c r="A109">
        <v>622</v>
      </c>
      <c r="B109" s="1" t="s">
        <v>216</v>
      </c>
      <c r="C109">
        <v>0</v>
      </c>
      <c r="D109">
        <v>0</v>
      </c>
      <c r="E109">
        <v>0</v>
      </c>
      <c r="F109" s="9">
        <f t="shared" si="15"/>
        <v>0</v>
      </c>
      <c r="G109" s="9">
        <f t="shared" si="16"/>
        <v>0</v>
      </c>
      <c r="H109" s="9">
        <f t="shared" si="17"/>
        <v>0</v>
      </c>
      <c r="I109" s="9">
        <f t="shared" si="18"/>
        <v>0</v>
      </c>
      <c r="J109" s="9">
        <f t="shared" si="19"/>
        <v>0</v>
      </c>
      <c r="K109" s="9">
        <v>0</v>
      </c>
      <c r="L109" s="9">
        <v>0</v>
      </c>
      <c r="M109" s="2" t="s">
        <v>16</v>
      </c>
      <c r="N109" s="2" t="s">
        <v>32</v>
      </c>
      <c r="O109" s="2" t="s">
        <v>16</v>
      </c>
    </row>
    <row r="110" ht="30" customHeight="1">
      <c r="A110">
        <v>629</v>
      </c>
      <c r="B110" s="1" t="s">
        <v>217</v>
      </c>
      <c r="C110">
        <v>0</v>
      </c>
      <c r="D110">
        <v>1</v>
      </c>
      <c r="E110">
        <v>1</v>
      </c>
      <c r="F110" s="9">
        <f t="shared" si="15"/>
        <v>1</v>
      </c>
      <c r="G110" s="9">
        <f t="shared" si="16"/>
        <v>2</v>
      </c>
      <c r="H110" s="9">
        <f t="shared" si="17"/>
        <v>1</v>
      </c>
      <c r="I110" s="9">
        <f t="shared" si="18"/>
        <v>1</v>
      </c>
      <c r="J110" s="9">
        <f t="shared" si="19"/>
        <v>2</v>
      </c>
      <c r="K110" s="9">
        <v>1</v>
      </c>
      <c r="L110" s="9">
        <v>1</v>
      </c>
      <c r="M110" s="2" t="s">
        <v>16</v>
      </c>
      <c r="N110" s="2" t="s">
        <v>218</v>
      </c>
      <c r="O110" s="2" t="s">
        <v>219</v>
      </c>
    </row>
    <row r="111" ht="30" customHeight="1">
      <c r="A111">
        <v>635</v>
      </c>
      <c r="B111" s="1" t="s">
        <v>220</v>
      </c>
      <c r="C111">
        <v>0</v>
      </c>
      <c r="D111">
        <v>1</v>
      </c>
      <c r="E111">
        <v>1</v>
      </c>
      <c r="F111" s="9">
        <f t="shared" si="15"/>
        <v>1</v>
      </c>
      <c r="G111" s="9">
        <f t="shared" si="16"/>
        <v>2</v>
      </c>
      <c r="H111" s="9">
        <f t="shared" si="17"/>
        <v>1</v>
      </c>
      <c r="I111" s="9">
        <f t="shared" si="18"/>
        <v>1</v>
      </c>
      <c r="J111" s="9">
        <f t="shared" si="19"/>
        <v>2</v>
      </c>
      <c r="K111" s="9">
        <v>1</v>
      </c>
      <c r="L111" s="9">
        <v>1</v>
      </c>
      <c r="M111" s="2" t="s">
        <v>16</v>
      </c>
      <c r="N111" s="2" t="s">
        <v>221</v>
      </c>
      <c r="O111" s="2" t="s">
        <v>222</v>
      </c>
    </row>
    <row r="112" ht="30" customHeight="1">
      <c r="A112">
        <v>658</v>
      </c>
      <c r="B112" s="1" t="s">
        <v>223</v>
      </c>
      <c r="C112">
        <v>0</v>
      </c>
      <c r="D112">
        <v>0</v>
      </c>
      <c r="E112">
        <v>0</v>
      </c>
      <c r="F112" s="9">
        <f t="shared" si="15"/>
        <v>0</v>
      </c>
      <c r="G112" s="9">
        <f t="shared" si="16"/>
        <v>0</v>
      </c>
      <c r="H112" s="9">
        <f t="shared" si="17"/>
        <v>0</v>
      </c>
      <c r="I112" s="9">
        <f t="shared" si="18"/>
        <v>0</v>
      </c>
      <c r="J112" s="9">
        <f t="shared" si="19"/>
        <v>0</v>
      </c>
      <c r="K112" s="9">
        <v>0</v>
      </c>
      <c r="L112" s="9">
        <v>0</v>
      </c>
      <c r="M112" s="2" t="s">
        <v>16</v>
      </c>
      <c r="N112" s="2" t="s">
        <v>32</v>
      </c>
      <c r="O112" s="2" t="s">
        <v>16</v>
      </c>
    </row>
    <row r="113" ht="30" customHeight="1">
      <c r="A113">
        <v>667</v>
      </c>
      <c r="B113" s="1" t="s">
        <v>224</v>
      </c>
      <c r="C113">
        <v>0</v>
      </c>
      <c r="D113">
        <v>0</v>
      </c>
      <c r="E113">
        <v>0</v>
      </c>
      <c r="F113" s="9">
        <f t="shared" si="15"/>
        <v>0</v>
      </c>
      <c r="G113" s="9">
        <f t="shared" si="16"/>
        <v>0</v>
      </c>
      <c r="H113" s="9">
        <f t="shared" si="17"/>
        <v>0</v>
      </c>
      <c r="I113" s="9">
        <f t="shared" si="18"/>
        <v>0</v>
      </c>
      <c r="J113" s="9">
        <f t="shared" si="19"/>
        <v>0</v>
      </c>
      <c r="K113" s="9">
        <v>0</v>
      </c>
      <c r="L113" s="9">
        <v>0</v>
      </c>
      <c r="M113" s="2" t="s">
        <v>16</v>
      </c>
      <c r="N113" s="2" t="s">
        <v>32</v>
      </c>
      <c r="O113" s="2" t="s">
        <v>16</v>
      </c>
    </row>
    <row r="114" ht="30" customHeight="1">
      <c r="A114">
        <v>671</v>
      </c>
      <c r="B114" s="1" t="s">
        <v>225</v>
      </c>
      <c r="C114">
        <v>0</v>
      </c>
      <c r="D114">
        <v>0</v>
      </c>
      <c r="E114">
        <v>0</v>
      </c>
      <c r="F114" s="9">
        <f t="shared" si="15"/>
        <v>0</v>
      </c>
      <c r="G114" s="9">
        <f t="shared" si="16"/>
        <v>0</v>
      </c>
      <c r="H114" s="9">
        <f t="shared" si="17"/>
        <v>0</v>
      </c>
      <c r="I114" s="9">
        <f t="shared" si="18"/>
        <v>0</v>
      </c>
      <c r="J114" s="9">
        <f t="shared" si="19"/>
        <v>0</v>
      </c>
      <c r="K114" s="9">
        <v>0</v>
      </c>
      <c r="L114" s="9">
        <v>0</v>
      </c>
      <c r="M114" s="2" t="s">
        <v>16</v>
      </c>
      <c r="N114" s="2" t="s">
        <v>32</v>
      </c>
      <c r="O114" s="2" t="s">
        <v>16</v>
      </c>
    </row>
    <row r="115" ht="30" customHeight="1">
      <c r="A115">
        <v>673</v>
      </c>
      <c r="B115" s="1" t="s">
        <v>226</v>
      </c>
      <c r="C115">
        <v>0</v>
      </c>
      <c r="D115">
        <v>0</v>
      </c>
      <c r="E115">
        <v>0</v>
      </c>
      <c r="F115" s="9">
        <f t="shared" si="15"/>
        <v>0</v>
      </c>
      <c r="G115" s="9">
        <f t="shared" si="16"/>
        <v>0</v>
      </c>
      <c r="H115" s="9">
        <f t="shared" si="17"/>
        <v>0</v>
      </c>
      <c r="I115" s="9">
        <f t="shared" si="18"/>
        <v>0</v>
      </c>
      <c r="J115" s="9">
        <f t="shared" si="19"/>
        <v>0</v>
      </c>
      <c r="K115" s="9">
        <v>0</v>
      </c>
      <c r="L115" s="9">
        <v>0</v>
      </c>
      <c r="M115" s="2" t="s">
        <v>16</v>
      </c>
      <c r="N115" s="2" t="s">
        <v>32</v>
      </c>
      <c r="O115" s="2" t="s">
        <v>16</v>
      </c>
    </row>
    <row r="116" ht="30" customHeight="1">
      <c r="A116">
        <v>674</v>
      </c>
      <c r="B116" s="1" t="s">
        <v>227</v>
      </c>
      <c r="C116">
        <v>1</v>
      </c>
      <c r="D116">
        <v>0</v>
      </c>
      <c r="E116">
        <v>0</v>
      </c>
      <c r="F116" s="9">
        <f t="shared" si="15"/>
        <v>0</v>
      </c>
      <c r="G116" s="9">
        <f t="shared" si="16"/>
        <v>1</v>
      </c>
      <c r="H116" s="9">
        <f t="shared" si="17"/>
        <v>1</v>
      </c>
      <c r="I116" s="9">
        <f t="shared" si="18"/>
        <v>1</v>
      </c>
      <c r="J116" s="9">
        <f t="shared" si="19"/>
        <v>0</v>
      </c>
      <c r="K116" s="9">
        <v>1</v>
      </c>
      <c r="L116" s="9">
        <v>1</v>
      </c>
      <c r="M116" s="2" t="s">
        <v>228</v>
      </c>
      <c r="N116" s="2" t="s">
        <v>32</v>
      </c>
      <c r="O116" s="2" t="s">
        <v>16</v>
      </c>
    </row>
    <row r="117" ht="30" customHeight="1">
      <c r="A117">
        <v>675</v>
      </c>
      <c r="B117" s="1" t="s">
        <v>229</v>
      </c>
      <c r="C117">
        <v>1</v>
      </c>
      <c r="D117">
        <v>0</v>
      </c>
      <c r="E117">
        <v>0</v>
      </c>
      <c r="F117" s="9">
        <f t="shared" si="15"/>
        <v>0</v>
      </c>
      <c r="G117" s="9">
        <f t="shared" si="16"/>
        <v>1</v>
      </c>
      <c r="H117" s="9">
        <f t="shared" si="17"/>
        <v>1</v>
      </c>
      <c r="I117" s="9">
        <f t="shared" si="18"/>
        <v>1</v>
      </c>
      <c r="J117" s="9">
        <f t="shared" si="19"/>
        <v>0</v>
      </c>
      <c r="K117" s="9">
        <v>0</v>
      </c>
      <c r="L117" s="9">
        <v>0</v>
      </c>
      <c r="M117" s="2" t="s">
        <v>230</v>
      </c>
      <c r="N117" s="2" t="s">
        <v>32</v>
      </c>
      <c r="O117" s="2" t="s">
        <v>16</v>
      </c>
    </row>
    <row r="118" ht="30" customHeight="1">
      <c r="A118">
        <v>676</v>
      </c>
      <c r="B118" s="1" t="s">
        <v>231</v>
      </c>
      <c r="C118">
        <v>1</v>
      </c>
      <c r="D118">
        <v>1</v>
      </c>
      <c r="E118">
        <v>1</v>
      </c>
      <c r="F118" s="9">
        <f t="shared" si="15"/>
        <v>1</v>
      </c>
      <c r="G118" s="9">
        <f t="shared" si="16"/>
        <v>3</v>
      </c>
      <c r="H118" s="9">
        <f t="shared" si="17"/>
        <v>2</v>
      </c>
      <c r="I118" s="9">
        <f t="shared" si="18"/>
        <v>2</v>
      </c>
      <c r="J118" s="9">
        <f t="shared" si="19"/>
        <v>2</v>
      </c>
      <c r="K118" s="9">
        <v>1</v>
      </c>
      <c r="L118" s="9">
        <v>1</v>
      </c>
      <c r="M118" s="2" t="s">
        <v>195</v>
      </c>
      <c r="N118" s="2" t="s">
        <v>232</v>
      </c>
      <c r="O118" s="2" t="s">
        <v>233</v>
      </c>
    </row>
    <row r="119" ht="30" customHeight="1">
      <c r="A119">
        <v>679</v>
      </c>
      <c r="B119" s="1" t="s">
        <v>234</v>
      </c>
      <c r="C119">
        <v>0</v>
      </c>
      <c r="D119">
        <v>1</v>
      </c>
      <c r="E119">
        <v>1</v>
      </c>
      <c r="F119" s="9">
        <f t="shared" si="15"/>
        <v>1</v>
      </c>
      <c r="G119" s="9">
        <f t="shared" si="16"/>
        <v>2</v>
      </c>
      <c r="H119" s="9">
        <f t="shared" si="17"/>
        <v>1</v>
      </c>
      <c r="I119" s="9">
        <f t="shared" si="18"/>
        <v>1</v>
      </c>
      <c r="J119" s="9">
        <f t="shared" si="19"/>
        <v>2</v>
      </c>
      <c r="K119" s="9">
        <v>1</v>
      </c>
      <c r="L119" s="9">
        <v>1</v>
      </c>
      <c r="M119" s="2" t="s">
        <v>16</v>
      </c>
      <c r="N119" s="2" t="s">
        <v>235</v>
      </c>
      <c r="O119" s="2" t="s">
        <v>236</v>
      </c>
    </row>
    <row r="120" ht="30" customHeight="1">
      <c r="A120">
        <v>694</v>
      </c>
      <c r="B120" s="1" t="s">
        <v>237</v>
      </c>
      <c r="C120">
        <v>0</v>
      </c>
      <c r="D120">
        <v>1</v>
      </c>
      <c r="E120">
        <v>1</v>
      </c>
      <c r="F120" s="9">
        <f t="shared" si="15"/>
        <v>1</v>
      </c>
      <c r="G120" s="9">
        <f t="shared" si="16"/>
        <v>2</v>
      </c>
      <c r="H120" s="9">
        <f t="shared" si="17"/>
        <v>1</v>
      </c>
      <c r="I120" s="9">
        <f t="shared" si="18"/>
        <v>1</v>
      </c>
      <c r="J120" s="9">
        <f t="shared" si="19"/>
        <v>2</v>
      </c>
      <c r="K120" s="9">
        <v>1</v>
      </c>
      <c r="L120" s="9">
        <v>1</v>
      </c>
      <c r="M120" s="2" t="s">
        <v>16</v>
      </c>
      <c r="N120" s="2" t="s">
        <v>238</v>
      </c>
      <c r="O120" s="2" t="s">
        <v>239</v>
      </c>
    </row>
    <row r="121" ht="30" customHeight="1">
      <c r="A121">
        <v>699</v>
      </c>
      <c r="B121" s="1" t="s">
        <v>240</v>
      </c>
      <c r="C121">
        <v>0</v>
      </c>
      <c r="D121">
        <v>1</v>
      </c>
      <c r="E121">
        <v>1</v>
      </c>
      <c r="F121" s="9">
        <f t="shared" si="15"/>
        <v>1</v>
      </c>
      <c r="G121" s="9">
        <f t="shared" si="16"/>
        <v>2</v>
      </c>
      <c r="H121" s="9">
        <f t="shared" si="17"/>
        <v>1</v>
      </c>
      <c r="I121" s="9">
        <f t="shared" si="18"/>
        <v>1</v>
      </c>
      <c r="J121" s="9">
        <f t="shared" si="19"/>
        <v>2</v>
      </c>
      <c r="K121" s="9">
        <v>1</v>
      </c>
      <c r="L121" s="9">
        <v>1</v>
      </c>
      <c r="M121" s="2" t="s">
        <v>16</v>
      </c>
      <c r="N121" s="2" t="s">
        <v>241</v>
      </c>
      <c r="O121" s="2" t="s">
        <v>242</v>
      </c>
    </row>
    <row r="122" ht="30" customHeight="1">
      <c r="A122">
        <v>703</v>
      </c>
      <c r="B122" s="1" t="s">
        <v>243</v>
      </c>
      <c r="C122">
        <v>0</v>
      </c>
      <c r="D122">
        <v>0</v>
      </c>
      <c r="E122">
        <v>0</v>
      </c>
      <c r="F122" s="9">
        <f t="shared" si="15"/>
        <v>0</v>
      </c>
      <c r="G122" s="9">
        <f t="shared" si="16"/>
        <v>0</v>
      </c>
      <c r="H122" s="9">
        <f t="shared" si="17"/>
        <v>0</v>
      </c>
      <c r="I122" s="9">
        <f t="shared" si="18"/>
        <v>0</v>
      </c>
      <c r="J122" s="9">
        <f t="shared" si="19"/>
        <v>0</v>
      </c>
      <c r="K122" s="9">
        <v>1</v>
      </c>
      <c r="L122" s="9">
        <v>1</v>
      </c>
      <c r="M122" s="2" t="s">
        <v>16</v>
      </c>
      <c r="N122" s="2" t="s">
        <v>32</v>
      </c>
      <c r="O122" s="2" t="s">
        <v>16</v>
      </c>
    </row>
    <row r="123" ht="30" customHeight="1">
      <c r="A123">
        <v>713</v>
      </c>
      <c r="B123" s="1" t="s">
        <v>244</v>
      </c>
      <c r="C123">
        <v>1</v>
      </c>
      <c r="D123">
        <v>1</v>
      </c>
      <c r="E123">
        <v>0</v>
      </c>
      <c r="F123" s="9">
        <f t="shared" si="15"/>
        <v>1</v>
      </c>
      <c r="G123" s="9">
        <f t="shared" si="16"/>
        <v>2</v>
      </c>
      <c r="H123" s="9">
        <f t="shared" si="17"/>
        <v>2</v>
      </c>
      <c r="I123" s="9">
        <f t="shared" si="18"/>
        <v>1</v>
      </c>
      <c r="J123" s="9">
        <f t="shared" si="19"/>
        <v>1</v>
      </c>
      <c r="K123" s="9">
        <v>0</v>
      </c>
      <c r="L123" s="9">
        <v>0</v>
      </c>
      <c r="M123" s="2" t="s">
        <v>245</v>
      </c>
      <c r="N123" s="2" t="s">
        <v>246</v>
      </c>
      <c r="O123" s="2" t="s">
        <v>16</v>
      </c>
    </row>
    <row r="124" ht="30" customHeight="1">
      <c r="A124">
        <v>717</v>
      </c>
      <c r="B124" s="1" t="s">
        <v>247</v>
      </c>
      <c r="C124">
        <v>0</v>
      </c>
      <c r="D124">
        <v>0</v>
      </c>
      <c r="E124">
        <v>0</v>
      </c>
      <c r="F124" s="9">
        <f t="shared" si="15"/>
        <v>0</v>
      </c>
      <c r="G124" s="9">
        <f t="shared" si="16"/>
        <v>0</v>
      </c>
      <c r="H124" s="9">
        <f t="shared" si="17"/>
        <v>0</v>
      </c>
      <c r="I124" s="9">
        <f t="shared" si="18"/>
        <v>0</v>
      </c>
      <c r="J124" s="9">
        <f t="shared" si="19"/>
        <v>0</v>
      </c>
      <c r="K124" s="9">
        <v>1</v>
      </c>
      <c r="L124" s="9">
        <v>1</v>
      </c>
      <c r="M124" s="2" t="s">
        <v>16</v>
      </c>
      <c r="N124" s="2" t="s">
        <v>32</v>
      </c>
      <c r="O124" s="2" t="s">
        <v>16</v>
      </c>
    </row>
    <row r="125" ht="30" customHeight="1">
      <c r="A125">
        <v>723</v>
      </c>
      <c r="B125" s="1" t="s">
        <v>248</v>
      </c>
      <c r="C125">
        <v>0</v>
      </c>
      <c r="D125">
        <v>1</v>
      </c>
      <c r="E125">
        <v>1</v>
      </c>
      <c r="F125" s="9">
        <f t="shared" si="15"/>
        <v>1</v>
      </c>
      <c r="G125" s="9">
        <f t="shared" si="16"/>
        <v>2</v>
      </c>
      <c r="H125" s="9">
        <f t="shared" si="17"/>
        <v>1</v>
      </c>
      <c r="I125" s="9">
        <f t="shared" si="18"/>
        <v>1</v>
      </c>
      <c r="J125" s="9">
        <f t="shared" si="19"/>
        <v>2</v>
      </c>
      <c r="K125" s="9">
        <v>1</v>
      </c>
      <c r="L125" s="9">
        <v>1</v>
      </c>
      <c r="M125" s="2" t="s">
        <v>16</v>
      </c>
      <c r="N125" s="2" t="s">
        <v>249</v>
      </c>
      <c r="O125" s="2" t="s">
        <v>250</v>
      </c>
    </row>
    <row r="126" ht="30" customHeight="1">
      <c r="A126">
        <v>737</v>
      </c>
      <c r="B126" s="1" t="s">
        <v>251</v>
      </c>
      <c r="C126">
        <v>0</v>
      </c>
      <c r="D126">
        <v>0</v>
      </c>
      <c r="E126">
        <v>0</v>
      </c>
      <c r="F126" s="9">
        <f t="shared" si="15"/>
        <v>0</v>
      </c>
      <c r="G126" s="9">
        <f t="shared" si="16"/>
        <v>0</v>
      </c>
      <c r="H126" s="9">
        <f t="shared" si="17"/>
        <v>0</v>
      </c>
      <c r="I126" s="9">
        <f t="shared" si="18"/>
        <v>0</v>
      </c>
      <c r="J126" s="9">
        <f t="shared" si="19"/>
        <v>0</v>
      </c>
      <c r="K126" s="9">
        <v>0</v>
      </c>
      <c r="L126" s="9">
        <v>0</v>
      </c>
      <c r="M126" s="2" t="s">
        <v>16</v>
      </c>
      <c r="N126" s="2" t="s">
        <v>32</v>
      </c>
      <c r="O126" s="2" t="s">
        <v>16</v>
      </c>
    </row>
    <row r="127" ht="30" customHeight="1">
      <c r="A127">
        <v>739</v>
      </c>
      <c r="B127" s="1" t="s">
        <v>252</v>
      </c>
      <c r="C127">
        <v>1</v>
      </c>
      <c r="D127">
        <v>1</v>
      </c>
      <c r="E127">
        <v>0</v>
      </c>
      <c r="F127" s="9">
        <f t="shared" si="15"/>
        <v>1</v>
      </c>
      <c r="G127" s="9">
        <f t="shared" si="16"/>
        <v>2</v>
      </c>
      <c r="H127" s="9">
        <f t="shared" si="17"/>
        <v>2</v>
      </c>
      <c r="I127" s="9">
        <f t="shared" si="18"/>
        <v>1</v>
      </c>
      <c r="J127" s="9">
        <f t="shared" si="19"/>
        <v>1</v>
      </c>
      <c r="K127" s="9">
        <v>1</v>
      </c>
      <c r="L127" s="9">
        <v>1</v>
      </c>
      <c r="M127" s="2" t="s">
        <v>253</v>
      </c>
      <c r="N127" s="2" t="s">
        <v>254</v>
      </c>
      <c r="O127" s="2" t="s">
        <v>16</v>
      </c>
    </row>
    <row r="128" ht="30" customHeight="1">
      <c r="A128">
        <v>744</v>
      </c>
      <c r="B128" s="1" t="s">
        <v>255</v>
      </c>
      <c r="C128">
        <v>0</v>
      </c>
      <c r="D128">
        <v>1</v>
      </c>
      <c r="E128">
        <v>1</v>
      </c>
      <c r="F128" s="9">
        <f t="shared" si="15"/>
        <v>1</v>
      </c>
      <c r="G128" s="9">
        <f t="shared" si="16"/>
        <v>2</v>
      </c>
      <c r="H128" s="9">
        <f t="shared" si="17"/>
        <v>1</v>
      </c>
      <c r="I128" s="9">
        <f t="shared" si="18"/>
        <v>1</v>
      </c>
      <c r="J128" s="9">
        <f t="shared" si="19"/>
        <v>2</v>
      </c>
      <c r="K128" s="9">
        <v>1</v>
      </c>
      <c r="L128" s="9">
        <v>1</v>
      </c>
      <c r="M128" s="2" t="s">
        <v>16</v>
      </c>
      <c r="N128" s="2" t="s">
        <v>256</v>
      </c>
      <c r="O128" s="2" t="s">
        <v>257</v>
      </c>
    </row>
    <row r="129" ht="30" customHeight="1">
      <c r="A129">
        <v>747</v>
      </c>
      <c r="B129" s="1" t="s">
        <v>258</v>
      </c>
      <c r="C129">
        <v>0</v>
      </c>
      <c r="D129">
        <v>1</v>
      </c>
      <c r="E129">
        <v>1</v>
      </c>
      <c r="F129" s="9">
        <f t="shared" si="15"/>
        <v>1</v>
      </c>
      <c r="G129" s="9">
        <f t="shared" si="16"/>
        <v>2</v>
      </c>
      <c r="H129" s="9">
        <f t="shared" si="17"/>
        <v>1</v>
      </c>
      <c r="I129" s="9">
        <f t="shared" si="18"/>
        <v>1</v>
      </c>
      <c r="J129" s="9">
        <f t="shared" si="19"/>
        <v>2</v>
      </c>
      <c r="K129" s="9">
        <v>1</v>
      </c>
      <c r="L129" s="9">
        <v>1</v>
      </c>
      <c r="M129" s="2" t="s">
        <v>16</v>
      </c>
      <c r="N129" s="2" t="s">
        <v>259</v>
      </c>
      <c r="O129" s="2" t="s">
        <v>260</v>
      </c>
    </row>
    <row r="130" ht="30" customHeight="1">
      <c r="A130">
        <v>749</v>
      </c>
      <c r="B130" s="1" t="s">
        <v>261</v>
      </c>
      <c r="C130">
        <v>0</v>
      </c>
      <c r="D130">
        <v>1</v>
      </c>
      <c r="E130">
        <v>1</v>
      </c>
      <c r="F130" s="9">
        <f t="shared" si="15"/>
        <v>1</v>
      </c>
      <c r="G130" s="9">
        <f t="shared" si="16"/>
        <v>2</v>
      </c>
      <c r="H130" s="9">
        <f t="shared" si="17"/>
        <v>1</v>
      </c>
      <c r="I130" s="9">
        <f t="shared" si="18"/>
        <v>1</v>
      </c>
      <c r="J130" s="9">
        <f t="shared" si="19"/>
        <v>2</v>
      </c>
      <c r="K130" s="9">
        <v>1</v>
      </c>
      <c r="L130" s="9">
        <v>1</v>
      </c>
      <c r="M130" s="2" t="s">
        <v>16</v>
      </c>
      <c r="N130" s="2" t="s">
        <v>262</v>
      </c>
      <c r="O130" s="2" t="s">
        <v>263</v>
      </c>
    </row>
    <row r="131" ht="30" customHeight="1">
      <c r="A131">
        <v>750</v>
      </c>
      <c r="B131" s="1" t="s">
        <v>264</v>
      </c>
      <c r="C131">
        <v>0</v>
      </c>
      <c r="D131">
        <v>0</v>
      </c>
      <c r="E131">
        <v>0</v>
      </c>
      <c r="F131" s="9">
        <f t="shared" si="15"/>
        <v>0</v>
      </c>
      <c r="G131" s="9">
        <f t="shared" si="16"/>
        <v>0</v>
      </c>
      <c r="H131" s="9">
        <f t="shared" si="17"/>
        <v>0</v>
      </c>
      <c r="I131" s="9">
        <f t="shared" si="18"/>
        <v>0</v>
      </c>
      <c r="J131" s="9">
        <f t="shared" si="19"/>
        <v>0</v>
      </c>
      <c r="K131" s="9">
        <v>0</v>
      </c>
      <c r="L131" s="9">
        <v>0</v>
      </c>
      <c r="M131" s="2" t="s">
        <v>16</v>
      </c>
      <c r="N131" s="2" t="s">
        <v>32</v>
      </c>
      <c r="O131" s="2" t="s">
        <v>16</v>
      </c>
    </row>
    <row r="132" ht="30" customHeight="1">
      <c r="A132">
        <v>754</v>
      </c>
      <c r="B132" s="1" t="s">
        <v>265</v>
      </c>
      <c r="C132">
        <v>0</v>
      </c>
      <c r="D132">
        <v>1</v>
      </c>
      <c r="E132">
        <v>0</v>
      </c>
      <c r="F132" s="9">
        <f t="shared" si="15"/>
        <v>0</v>
      </c>
      <c r="G132" s="9">
        <f t="shared" si="16"/>
        <v>1</v>
      </c>
      <c r="H132" s="9">
        <f t="shared" si="17"/>
        <v>1</v>
      </c>
      <c r="I132" s="9">
        <f t="shared" si="18"/>
        <v>0</v>
      </c>
      <c r="J132" s="9">
        <f t="shared" si="19"/>
        <v>1</v>
      </c>
      <c r="K132" s="9">
        <v>0</v>
      </c>
      <c r="L132" s="9">
        <v>0</v>
      </c>
      <c r="M132" s="2" t="s">
        <v>16</v>
      </c>
      <c r="N132" s="2" t="s">
        <v>266</v>
      </c>
      <c r="O132" s="2" t="s">
        <v>16</v>
      </c>
    </row>
    <row r="133" ht="30" customHeight="1">
      <c r="A133">
        <v>757</v>
      </c>
      <c r="B133" s="1" t="s">
        <v>267</v>
      </c>
      <c r="C133">
        <v>0</v>
      </c>
      <c r="D133">
        <v>0</v>
      </c>
      <c r="E133">
        <v>0</v>
      </c>
      <c r="F133" s="9">
        <f t="shared" si="15"/>
        <v>0</v>
      </c>
      <c r="G133" s="9">
        <f t="shared" si="16"/>
        <v>0</v>
      </c>
      <c r="H133" s="9">
        <f t="shared" si="17"/>
        <v>0</v>
      </c>
      <c r="I133" s="9">
        <f t="shared" si="18"/>
        <v>0</v>
      </c>
      <c r="J133" s="9">
        <f t="shared" si="19"/>
        <v>0</v>
      </c>
      <c r="K133" s="9">
        <v>1</v>
      </c>
      <c r="L133" s="9">
        <v>0</v>
      </c>
      <c r="M133" s="2" t="s">
        <v>16</v>
      </c>
      <c r="N133" s="2" t="s">
        <v>32</v>
      </c>
      <c r="O133" s="2" t="s">
        <v>16</v>
      </c>
    </row>
    <row r="134" ht="30" customHeight="1">
      <c r="A134">
        <v>766</v>
      </c>
      <c r="B134" s="1" t="s">
        <v>268</v>
      </c>
      <c r="C134">
        <v>0</v>
      </c>
      <c r="D134">
        <v>0</v>
      </c>
      <c r="E134">
        <v>1</v>
      </c>
      <c r="F134" s="9">
        <f t="shared" si="15"/>
        <v>0</v>
      </c>
      <c r="G134" s="9">
        <f t="shared" si="16"/>
        <v>1</v>
      </c>
      <c r="H134" s="9">
        <f t="shared" si="17"/>
        <v>0</v>
      </c>
      <c r="I134" s="9">
        <f t="shared" si="18"/>
        <v>1</v>
      </c>
      <c r="J134" s="9">
        <f t="shared" si="19"/>
        <v>1</v>
      </c>
      <c r="K134" s="9">
        <v>1</v>
      </c>
      <c r="L134" s="9">
        <v>1</v>
      </c>
      <c r="M134" s="2" t="s">
        <v>16</v>
      </c>
      <c r="N134" s="2" t="s">
        <v>32</v>
      </c>
      <c r="O134" s="2" t="s">
        <v>267</v>
      </c>
    </row>
    <row r="135" ht="30" customHeight="1">
      <c r="A135">
        <v>768</v>
      </c>
      <c r="B135" s="1" t="s">
        <v>269</v>
      </c>
      <c r="C135">
        <v>1</v>
      </c>
      <c r="D135">
        <v>1</v>
      </c>
      <c r="E135">
        <v>0</v>
      </c>
      <c r="F135" s="9">
        <f t="shared" si="15"/>
        <v>1</v>
      </c>
      <c r="G135" s="9">
        <f t="shared" si="16"/>
        <v>2</v>
      </c>
      <c r="H135" s="9">
        <f t="shared" si="17"/>
        <v>2</v>
      </c>
      <c r="I135" s="9">
        <f t="shared" si="18"/>
        <v>1</v>
      </c>
      <c r="J135" s="9">
        <f t="shared" si="19"/>
        <v>1</v>
      </c>
      <c r="K135" s="9">
        <v>0</v>
      </c>
      <c r="L135" s="9">
        <v>0</v>
      </c>
      <c r="M135" s="2" t="s">
        <v>270</v>
      </c>
      <c r="N135" s="2" t="s">
        <v>271</v>
      </c>
      <c r="O135" s="2" t="s">
        <v>16</v>
      </c>
    </row>
    <row r="136" ht="30" customHeight="1">
      <c r="A136">
        <v>788</v>
      </c>
      <c r="B136" s="1" t="s">
        <v>272</v>
      </c>
      <c r="C136">
        <v>1</v>
      </c>
      <c r="D136">
        <v>1</v>
      </c>
      <c r="E136">
        <v>1</v>
      </c>
      <c r="F136" s="9">
        <f t="shared" si="15"/>
        <v>1</v>
      </c>
      <c r="G136" s="9">
        <f t="shared" si="16"/>
        <v>3</v>
      </c>
      <c r="H136" s="9">
        <f t="shared" si="17"/>
        <v>2</v>
      </c>
      <c r="I136" s="9">
        <f t="shared" si="18"/>
        <v>2</v>
      </c>
      <c r="J136" s="9">
        <f t="shared" si="19"/>
        <v>2</v>
      </c>
      <c r="K136" s="9">
        <v>1</v>
      </c>
      <c r="L136" s="9">
        <v>1</v>
      </c>
      <c r="M136" s="2" t="s">
        <v>273</v>
      </c>
      <c r="N136" s="2" t="s">
        <v>274</v>
      </c>
      <c r="O136" s="2" t="s">
        <v>82</v>
      </c>
    </row>
    <row r="137" ht="30" customHeight="1">
      <c r="A137">
        <v>798</v>
      </c>
      <c r="B137" s="1" t="s">
        <v>275</v>
      </c>
      <c r="C137">
        <v>0</v>
      </c>
      <c r="D137">
        <v>1</v>
      </c>
      <c r="E137">
        <v>0</v>
      </c>
      <c r="F137" s="9">
        <f t="shared" si="15"/>
        <v>0</v>
      </c>
      <c r="G137" s="9">
        <f t="shared" si="16"/>
        <v>1</v>
      </c>
      <c r="H137" s="9">
        <f t="shared" si="17"/>
        <v>1</v>
      </c>
      <c r="I137" s="9">
        <f t="shared" si="18"/>
        <v>0</v>
      </c>
      <c r="J137" s="9">
        <f t="shared" si="19"/>
        <v>1</v>
      </c>
      <c r="K137" s="9">
        <v>0</v>
      </c>
      <c r="L137" s="9">
        <v>0</v>
      </c>
      <c r="M137" s="2" t="s">
        <v>16</v>
      </c>
      <c r="N137" s="2" t="s">
        <v>57</v>
      </c>
      <c r="O137" s="2" t="s">
        <v>16</v>
      </c>
    </row>
    <row r="138" ht="30" customHeight="1">
      <c r="A138">
        <v>799</v>
      </c>
      <c r="B138" s="1" t="s">
        <v>276</v>
      </c>
      <c r="C138">
        <v>0</v>
      </c>
      <c r="D138">
        <v>1</v>
      </c>
      <c r="E138">
        <v>0</v>
      </c>
      <c r="F138" s="9">
        <f t="shared" si="15"/>
        <v>0</v>
      </c>
      <c r="G138" s="9">
        <f t="shared" si="16"/>
        <v>1</v>
      </c>
      <c r="H138" s="9">
        <f t="shared" si="17"/>
        <v>1</v>
      </c>
      <c r="I138" s="9">
        <f t="shared" si="18"/>
        <v>0</v>
      </c>
      <c r="J138" s="9">
        <f t="shared" si="19"/>
        <v>1</v>
      </c>
      <c r="K138" s="9">
        <v>0</v>
      </c>
      <c r="L138" s="9">
        <v>0</v>
      </c>
      <c r="M138" s="2" t="s">
        <v>16</v>
      </c>
      <c r="N138" s="2" t="s">
        <v>184</v>
      </c>
      <c r="O138" s="2" t="s">
        <v>16</v>
      </c>
    </row>
    <row r="139" ht="30" customHeight="1">
      <c r="A139">
        <v>807</v>
      </c>
      <c r="B139" s="1" t="s">
        <v>277</v>
      </c>
      <c r="C139">
        <v>0</v>
      </c>
      <c r="D139">
        <v>0</v>
      </c>
      <c r="E139">
        <v>0</v>
      </c>
      <c r="F139" s="9">
        <f t="shared" si="15"/>
        <v>0</v>
      </c>
      <c r="G139" s="9">
        <f t="shared" si="16"/>
        <v>0</v>
      </c>
      <c r="H139" s="9">
        <f t="shared" si="17"/>
        <v>0</v>
      </c>
      <c r="I139" s="9">
        <f t="shared" si="18"/>
        <v>0</v>
      </c>
      <c r="J139" s="9">
        <f t="shared" si="19"/>
        <v>0</v>
      </c>
      <c r="K139" s="9">
        <v>1</v>
      </c>
      <c r="L139" s="9">
        <v>1</v>
      </c>
      <c r="M139" s="2" t="s">
        <v>16</v>
      </c>
      <c r="N139" s="2" t="s">
        <v>32</v>
      </c>
      <c r="O139" s="2" t="s">
        <v>16</v>
      </c>
    </row>
    <row r="140" ht="30" customHeight="1">
      <c r="A140">
        <v>814</v>
      </c>
      <c r="B140" s="1" t="s">
        <v>278</v>
      </c>
      <c r="C140">
        <v>0</v>
      </c>
      <c r="D140">
        <v>1</v>
      </c>
      <c r="E140">
        <v>1</v>
      </c>
      <c r="F140" s="9">
        <f t="shared" si="15"/>
        <v>1</v>
      </c>
      <c r="G140" s="9">
        <f t="shared" si="16"/>
        <v>2</v>
      </c>
      <c r="H140" s="9">
        <f t="shared" si="17"/>
        <v>1</v>
      </c>
      <c r="I140" s="9">
        <f t="shared" si="18"/>
        <v>1</v>
      </c>
      <c r="J140" s="9">
        <f t="shared" si="19"/>
        <v>2</v>
      </c>
      <c r="K140" s="9">
        <v>1</v>
      </c>
      <c r="L140" s="9">
        <v>1</v>
      </c>
      <c r="M140" s="2" t="s">
        <v>16</v>
      </c>
      <c r="N140" s="2" t="s">
        <v>279</v>
      </c>
      <c r="O140" s="2" t="s">
        <v>93</v>
      </c>
    </row>
    <row r="141" ht="30" customHeight="1">
      <c r="A141">
        <v>816</v>
      </c>
      <c r="B141" s="1" t="s">
        <v>280</v>
      </c>
      <c r="C141">
        <v>1</v>
      </c>
      <c r="D141">
        <v>0</v>
      </c>
      <c r="E141">
        <v>0</v>
      </c>
      <c r="F141" s="9">
        <f t="shared" si="15"/>
        <v>0</v>
      </c>
      <c r="G141" s="9">
        <f t="shared" si="16"/>
        <v>1</v>
      </c>
      <c r="H141" s="9">
        <f t="shared" si="17"/>
        <v>1</v>
      </c>
      <c r="I141" s="9">
        <f t="shared" si="18"/>
        <v>1</v>
      </c>
      <c r="J141" s="9">
        <f t="shared" si="19"/>
        <v>0</v>
      </c>
      <c r="K141" s="9">
        <v>1</v>
      </c>
      <c r="L141" s="9">
        <v>1</v>
      </c>
      <c r="M141" s="2" t="s">
        <v>56</v>
      </c>
      <c r="N141" s="2" t="s">
        <v>32</v>
      </c>
      <c r="O141" s="2" t="s">
        <v>16</v>
      </c>
    </row>
    <row r="142" ht="30" customHeight="1">
      <c r="A142">
        <v>827</v>
      </c>
      <c r="B142" s="1" t="s">
        <v>281</v>
      </c>
      <c r="C142">
        <v>1</v>
      </c>
      <c r="D142">
        <v>1</v>
      </c>
      <c r="E142">
        <v>1</v>
      </c>
      <c r="F142" s="9">
        <f t="shared" si="15"/>
        <v>1</v>
      </c>
      <c r="G142" s="9">
        <f t="shared" si="16"/>
        <v>3</v>
      </c>
      <c r="H142" s="9">
        <f t="shared" si="17"/>
        <v>2</v>
      </c>
      <c r="I142" s="9">
        <f t="shared" si="18"/>
        <v>2</v>
      </c>
      <c r="J142" s="9">
        <f t="shared" si="19"/>
        <v>2</v>
      </c>
      <c r="K142" s="9">
        <v>1</v>
      </c>
      <c r="L142" s="9">
        <v>1</v>
      </c>
      <c r="M142" s="2" t="s">
        <v>282</v>
      </c>
      <c r="N142" s="2" t="s">
        <v>283</v>
      </c>
      <c r="O142" s="2" t="s">
        <v>284</v>
      </c>
    </row>
    <row r="143" ht="30" customHeight="1">
      <c r="A143">
        <v>828</v>
      </c>
      <c r="B143" s="1" t="s">
        <v>285</v>
      </c>
      <c r="C143">
        <v>0</v>
      </c>
      <c r="D143">
        <v>1</v>
      </c>
      <c r="E143">
        <v>0</v>
      </c>
      <c r="F143" s="9">
        <f t="shared" si="15"/>
        <v>0</v>
      </c>
      <c r="G143" s="9">
        <f t="shared" si="16"/>
        <v>1</v>
      </c>
      <c r="H143" s="9">
        <f t="shared" si="17"/>
        <v>1</v>
      </c>
      <c r="I143" s="9">
        <f t="shared" si="18"/>
        <v>0</v>
      </c>
      <c r="J143" s="9">
        <f t="shared" si="19"/>
        <v>1</v>
      </c>
      <c r="K143" s="9">
        <v>1</v>
      </c>
      <c r="L143" s="9">
        <v>1</v>
      </c>
      <c r="M143" s="2" t="s">
        <v>16</v>
      </c>
      <c r="N143" s="2" t="s">
        <v>286</v>
      </c>
      <c r="O143" s="2" t="s">
        <v>16</v>
      </c>
    </row>
    <row r="144" ht="30" customHeight="1">
      <c r="A144">
        <v>830</v>
      </c>
      <c r="B144" s="1" t="s">
        <v>287</v>
      </c>
      <c r="C144">
        <v>0</v>
      </c>
      <c r="D144">
        <v>0</v>
      </c>
      <c r="E144">
        <v>0</v>
      </c>
      <c r="F144" s="9">
        <f t="shared" si="15"/>
        <v>0</v>
      </c>
      <c r="G144" s="9">
        <f t="shared" si="16"/>
        <v>0</v>
      </c>
      <c r="H144" s="9">
        <f t="shared" si="17"/>
        <v>0</v>
      </c>
      <c r="I144" s="9">
        <f t="shared" si="18"/>
        <v>0</v>
      </c>
      <c r="J144" s="9">
        <f t="shared" si="19"/>
        <v>0</v>
      </c>
      <c r="K144" s="9">
        <v>0</v>
      </c>
      <c r="L144" s="9">
        <v>0</v>
      </c>
      <c r="M144" s="2" t="s">
        <v>16</v>
      </c>
      <c r="N144" s="2" t="s">
        <v>32</v>
      </c>
      <c r="O144" s="2" t="s">
        <v>16</v>
      </c>
    </row>
    <row r="145" ht="30" customHeight="1">
      <c r="A145">
        <v>832</v>
      </c>
      <c r="B145" s="1" t="s">
        <v>288</v>
      </c>
      <c r="C145">
        <v>1</v>
      </c>
      <c r="D145">
        <v>1</v>
      </c>
      <c r="E145">
        <v>1</v>
      </c>
      <c r="F145" s="9">
        <f t="shared" si="15"/>
        <v>1</v>
      </c>
      <c r="G145" s="9">
        <f t="shared" si="16"/>
        <v>3</v>
      </c>
      <c r="H145" s="9">
        <f t="shared" si="17"/>
        <v>2</v>
      </c>
      <c r="I145" s="9">
        <f t="shared" si="18"/>
        <v>2</v>
      </c>
      <c r="J145" s="9">
        <f t="shared" si="19"/>
        <v>2</v>
      </c>
      <c r="K145" s="9">
        <v>1</v>
      </c>
      <c r="L145" s="9">
        <v>1</v>
      </c>
      <c r="M145" s="2" t="s">
        <v>289</v>
      </c>
      <c r="N145" s="2" t="s">
        <v>290</v>
      </c>
      <c r="O145" s="2" t="s">
        <v>291</v>
      </c>
    </row>
    <row r="146" ht="30" customHeight="1">
      <c r="A146">
        <v>835</v>
      </c>
      <c r="B146" s="1" t="s">
        <v>292</v>
      </c>
      <c r="C146">
        <v>0</v>
      </c>
      <c r="D146">
        <v>0</v>
      </c>
      <c r="E146">
        <v>0</v>
      </c>
      <c r="F146" s="9">
        <f t="shared" si="15"/>
        <v>0</v>
      </c>
      <c r="G146" s="9">
        <f t="shared" si="16"/>
        <v>0</v>
      </c>
      <c r="H146" s="9">
        <f t="shared" si="17"/>
        <v>0</v>
      </c>
      <c r="I146" s="9">
        <f t="shared" si="18"/>
        <v>0</v>
      </c>
      <c r="J146" s="9">
        <f t="shared" si="19"/>
        <v>0</v>
      </c>
      <c r="K146" s="9">
        <v>0</v>
      </c>
      <c r="L146" s="9">
        <v>0</v>
      </c>
      <c r="M146" s="2" t="s">
        <v>16</v>
      </c>
      <c r="N146" s="2" t="s">
        <v>32</v>
      </c>
      <c r="O146" s="2" t="s">
        <v>16</v>
      </c>
    </row>
    <row r="147" ht="30" customHeight="1">
      <c r="A147">
        <v>837</v>
      </c>
      <c r="B147" s="1" t="s">
        <v>293</v>
      </c>
      <c r="C147">
        <v>0</v>
      </c>
      <c r="D147">
        <v>1</v>
      </c>
      <c r="E147">
        <v>0</v>
      </c>
      <c r="F147" s="9">
        <f t="shared" si="15"/>
        <v>0</v>
      </c>
      <c r="G147" s="9">
        <f t="shared" si="16"/>
        <v>1</v>
      </c>
      <c r="H147" s="9">
        <f t="shared" si="17"/>
        <v>1</v>
      </c>
      <c r="I147" s="9">
        <f t="shared" si="18"/>
        <v>0</v>
      </c>
      <c r="J147" s="9">
        <f t="shared" si="19"/>
        <v>1</v>
      </c>
      <c r="K147" s="9">
        <v>0</v>
      </c>
      <c r="L147" s="9">
        <v>0</v>
      </c>
      <c r="M147" s="2" t="s">
        <v>16</v>
      </c>
      <c r="N147" s="2" t="s">
        <v>294</v>
      </c>
      <c r="O147" s="2" t="s">
        <v>16</v>
      </c>
    </row>
    <row r="148" ht="30" customHeight="1">
      <c r="A148">
        <v>847</v>
      </c>
      <c r="B148" s="1" t="s">
        <v>295</v>
      </c>
      <c r="C148">
        <v>1</v>
      </c>
      <c r="D148">
        <v>0</v>
      </c>
      <c r="E148">
        <v>0</v>
      </c>
      <c r="F148" s="9">
        <f t="shared" si="15"/>
        <v>0</v>
      </c>
      <c r="G148" s="9">
        <f t="shared" si="16"/>
        <v>1</v>
      </c>
      <c r="H148" s="9">
        <f t="shared" si="17"/>
        <v>1</v>
      </c>
      <c r="I148" s="9">
        <f t="shared" si="18"/>
        <v>1</v>
      </c>
      <c r="J148" s="9">
        <f t="shared" si="19"/>
        <v>0</v>
      </c>
      <c r="K148" s="9">
        <v>1</v>
      </c>
      <c r="L148" s="9">
        <v>1</v>
      </c>
      <c r="M148" s="2" t="s">
        <v>93</v>
      </c>
      <c r="N148" s="2" t="s">
        <v>32</v>
      </c>
      <c r="O148" s="2" t="s">
        <v>16</v>
      </c>
    </row>
    <row r="149" ht="30" customHeight="1">
      <c r="A149">
        <v>851</v>
      </c>
      <c r="B149" s="1" t="s">
        <v>296</v>
      </c>
      <c r="C149">
        <v>1</v>
      </c>
      <c r="D149">
        <v>0</v>
      </c>
      <c r="E149">
        <v>0</v>
      </c>
      <c r="F149" s="9">
        <f t="shared" si="15"/>
        <v>0</v>
      </c>
      <c r="G149" s="9">
        <f t="shared" si="16"/>
        <v>1</v>
      </c>
      <c r="H149" s="9">
        <f t="shared" si="17"/>
        <v>1</v>
      </c>
      <c r="I149" s="9">
        <f t="shared" si="18"/>
        <v>1</v>
      </c>
      <c r="J149" s="9">
        <f t="shared" si="19"/>
        <v>0</v>
      </c>
      <c r="K149" s="9">
        <v>0</v>
      </c>
      <c r="L149" s="9">
        <v>0</v>
      </c>
      <c r="M149" s="2" t="s">
        <v>297</v>
      </c>
      <c r="N149" s="2" t="s">
        <v>32</v>
      </c>
      <c r="O149" s="2" t="s">
        <v>16</v>
      </c>
    </row>
    <row r="150" ht="30" customHeight="1">
      <c r="A150">
        <v>858</v>
      </c>
      <c r="B150" s="1" t="s">
        <v>298</v>
      </c>
      <c r="C150">
        <v>1</v>
      </c>
      <c r="D150">
        <v>0</v>
      </c>
      <c r="E150">
        <v>0</v>
      </c>
      <c r="F150" s="9">
        <f t="shared" si="15"/>
        <v>0</v>
      </c>
      <c r="G150" s="9">
        <f t="shared" si="16"/>
        <v>1</v>
      </c>
      <c r="H150" s="9">
        <f t="shared" si="17"/>
        <v>1</v>
      </c>
      <c r="I150" s="9">
        <f t="shared" si="18"/>
        <v>1</v>
      </c>
      <c r="J150" s="9">
        <f t="shared" si="19"/>
        <v>0</v>
      </c>
      <c r="K150" s="9">
        <v>0</v>
      </c>
      <c r="L150" s="9">
        <v>0</v>
      </c>
      <c r="M150" s="2" t="s">
        <v>284</v>
      </c>
      <c r="N150" s="2" t="s">
        <v>32</v>
      </c>
      <c r="O150" s="2" t="s">
        <v>16</v>
      </c>
    </row>
    <row r="151" ht="30" customHeight="1">
      <c r="A151">
        <v>862</v>
      </c>
      <c r="B151" s="1" t="s">
        <v>299</v>
      </c>
      <c r="C151">
        <v>0</v>
      </c>
      <c r="D151">
        <v>0</v>
      </c>
      <c r="E151">
        <v>0</v>
      </c>
      <c r="F151" s="9">
        <f t="shared" si="15"/>
        <v>0</v>
      </c>
      <c r="G151" s="9">
        <f t="shared" si="16"/>
        <v>0</v>
      </c>
      <c r="H151" s="9">
        <f t="shared" si="17"/>
        <v>0</v>
      </c>
      <c r="I151" s="9">
        <f t="shared" si="18"/>
        <v>0</v>
      </c>
      <c r="J151" s="9">
        <f t="shared" si="19"/>
        <v>0</v>
      </c>
      <c r="K151" s="9">
        <v>1</v>
      </c>
      <c r="L151" s="9">
        <v>1</v>
      </c>
      <c r="M151" s="2" t="s">
        <v>16</v>
      </c>
      <c r="N151" s="2" t="s">
        <v>32</v>
      </c>
      <c r="O151" s="2" t="s">
        <v>16</v>
      </c>
    </row>
    <row r="152" ht="30" customHeight="1">
      <c r="A152">
        <v>878</v>
      </c>
      <c r="B152" s="1" t="s">
        <v>300</v>
      </c>
      <c r="C152">
        <v>0</v>
      </c>
      <c r="D152">
        <v>0</v>
      </c>
      <c r="E152">
        <v>0</v>
      </c>
      <c r="F152" s="9">
        <f t="shared" si="15"/>
        <v>0</v>
      </c>
      <c r="G152" s="9">
        <f t="shared" si="16"/>
        <v>0</v>
      </c>
      <c r="H152" s="9">
        <f t="shared" si="17"/>
        <v>0</v>
      </c>
      <c r="I152" s="9">
        <f t="shared" si="18"/>
        <v>0</v>
      </c>
      <c r="J152" s="9">
        <f t="shared" si="19"/>
        <v>0</v>
      </c>
      <c r="K152" s="9">
        <v>1</v>
      </c>
      <c r="L152" s="9">
        <v>1</v>
      </c>
      <c r="M152" s="2" t="s">
        <v>16</v>
      </c>
      <c r="N152" s="2" t="s">
        <v>32</v>
      </c>
      <c r="O152" s="2" t="s">
        <v>16</v>
      </c>
    </row>
    <row r="153" ht="30" customHeight="1">
      <c r="A153">
        <v>883</v>
      </c>
      <c r="B153" s="1" t="s">
        <v>301</v>
      </c>
      <c r="C153">
        <v>1</v>
      </c>
      <c r="D153">
        <v>0</v>
      </c>
      <c r="E153">
        <v>0</v>
      </c>
      <c r="F153" s="9">
        <f t="shared" si="15"/>
        <v>0</v>
      </c>
      <c r="G153" s="9">
        <f t="shared" si="16"/>
        <v>1</v>
      </c>
      <c r="H153" s="9">
        <f t="shared" si="17"/>
        <v>1</v>
      </c>
      <c r="I153" s="9">
        <f t="shared" si="18"/>
        <v>1</v>
      </c>
      <c r="J153" s="9">
        <f t="shared" si="19"/>
        <v>0</v>
      </c>
      <c r="K153" s="9">
        <v>0</v>
      </c>
      <c r="L153" s="9">
        <v>0</v>
      </c>
      <c r="M153" s="2" t="s">
        <v>302</v>
      </c>
      <c r="N153" s="2" t="s">
        <v>32</v>
      </c>
      <c r="O153" s="2" t="s">
        <v>16</v>
      </c>
    </row>
    <row r="154" ht="30" customHeight="1">
      <c r="A154">
        <v>884</v>
      </c>
      <c r="B154" s="1" t="s">
        <v>303</v>
      </c>
      <c r="C154">
        <v>0</v>
      </c>
      <c r="D154">
        <v>0</v>
      </c>
      <c r="E154">
        <v>0</v>
      </c>
      <c r="F154" s="9">
        <f t="shared" si="15"/>
        <v>0</v>
      </c>
      <c r="G154" s="9">
        <f t="shared" si="16"/>
        <v>0</v>
      </c>
      <c r="H154" s="9">
        <f t="shared" si="17"/>
        <v>0</v>
      </c>
      <c r="I154" s="9">
        <f t="shared" si="18"/>
        <v>0</v>
      </c>
      <c r="J154" s="9">
        <f t="shared" si="19"/>
        <v>0</v>
      </c>
      <c r="K154" s="9">
        <v>0</v>
      </c>
      <c r="L154" s="9">
        <v>0</v>
      </c>
      <c r="M154" s="2" t="s">
        <v>16</v>
      </c>
      <c r="N154" s="2" t="s">
        <v>32</v>
      </c>
      <c r="O154" s="2" t="s">
        <v>16</v>
      </c>
    </row>
    <row r="155" ht="30" customHeight="1">
      <c r="A155">
        <v>886</v>
      </c>
      <c r="B155" s="1" t="s">
        <v>304</v>
      </c>
      <c r="C155">
        <v>0</v>
      </c>
      <c r="D155">
        <v>0</v>
      </c>
      <c r="E155">
        <v>0</v>
      </c>
      <c r="F155" s="9">
        <f t="shared" si="15"/>
        <v>0</v>
      </c>
      <c r="G155" s="9">
        <f t="shared" si="16"/>
        <v>0</v>
      </c>
      <c r="H155" s="9">
        <f t="shared" si="17"/>
        <v>0</v>
      </c>
      <c r="I155" s="9">
        <f t="shared" si="18"/>
        <v>0</v>
      </c>
      <c r="J155" s="9">
        <f t="shared" si="19"/>
        <v>0</v>
      </c>
      <c r="K155" s="9">
        <v>0</v>
      </c>
      <c r="L155" s="9">
        <v>0</v>
      </c>
      <c r="M155" s="2" t="s">
        <v>16</v>
      </c>
      <c r="N155" s="2" t="s">
        <v>32</v>
      </c>
      <c r="O155" s="2" t="s">
        <v>16</v>
      </c>
    </row>
    <row r="156" ht="30" customHeight="1">
      <c r="A156">
        <v>892</v>
      </c>
      <c r="B156" s="1" t="s">
        <v>305</v>
      </c>
      <c r="C156">
        <v>1</v>
      </c>
      <c r="D156">
        <v>0</v>
      </c>
      <c r="E156">
        <v>0</v>
      </c>
      <c r="F156" s="9">
        <f t="shared" si="15"/>
        <v>0</v>
      </c>
      <c r="G156" s="9">
        <f t="shared" si="16"/>
        <v>1</v>
      </c>
      <c r="H156" s="9">
        <f t="shared" si="17"/>
        <v>1</v>
      </c>
      <c r="I156" s="9">
        <f t="shared" si="18"/>
        <v>1</v>
      </c>
      <c r="J156" s="9">
        <f t="shared" si="19"/>
        <v>0</v>
      </c>
      <c r="K156" s="9">
        <v>0</v>
      </c>
      <c r="L156" s="9">
        <v>0</v>
      </c>
      <c r="M156" s="2" t="s">
        <v>306</v>
      </c>
      <c r="N156" s="2" t="s">
        <v>32</v>
      </c>
      <c r="O156" s="2" t="s">
        <v>16</v>
      </c>
    </row>
    <row r="157" ht="30" customHeight="1">
      <c r="A157">
        <v>893</v>
      </c>
      <c r="B157" s="1" t="s">
        <v>307</v>
      </c>
      <c r="C157">
        <v>0</v>
      </c>
      <c r="D157">
        <v>1</v>
      </c>
      <c r="E157">
        <v>1</v>
      </c>
      <c r="F157" s="9">
        <f t="shared" si="15"/>
        <v>1</v>
      </c>
      <c r="G157" s="9">
        <f t="shared" si="16"/>
        <v>2</v>
      </c>
      <c r="H157" s="9">
        <f t="shared" si="17"/>
        <v>1</v>
      </c>
      <c r="I157" s="9">
        <f t="shared" si="18"/>
        <v>1</v>
      </c>
      <c r="J157" s="9">
        <f t="shared" si="19"/>
        <v>2</v>
      </c>
      <c r="K157" s="9">
        <v>0</v>
      </c>
      <c r="L157" s="9">
        <v>0</v>
      </c>
      <c r="M157" s="2" t="s">
        <v>16</v>
      </c>
      <c r="N157" s="2" t="s">
        <v>294</v>
      </c>
      <c r="O157" s="2" t="s">
        <v>308</v>
      </c>
    </row>
    <row r="158" ht="30" customHeight="1">
      <c r="A158">
        <v>898</v>
      </c>
      <c r="B158" s="1" t="s">
        <v>309</v>
      </c>
      <c r="C158">
        <v>1</v>
      </c>
      <c r="D158">
        <v>1</v>
      </c>
      <c r="E158">
        <v>1</v>
      </c>
      <c r="F158" s="9">
        <f t="shared" si="15"/>
        <v>1</v>
      </c>
      <c r="G158" s="9">
        <f t="shared" si="16"/>
        <v>3</v>
      </c>
      <c r="H158" s="9">
        <f t="shared" si="17"/>
        <v>2</v>
      </c>
      <c r="I158" s="9">
        <f t="shared" si="18"/>
        <v>2</v>
      </c>
      <c r="J158" s="9">
        <f t="shared" si="19"/>
        <v>2</v>
      </c>
      <c r="K158" s="9">
        <v>1</v>
      </c>
      <c r="L158" s="9">
        <v>1</v>
      </c>
      <c r="M158" s="2" t="s">
        <v>310</v>
      </c>
      <c r="N158" s="2" t="s">
        <v>294</v>
      </c>
      <c r="O158" s="2" t="s">
        <v>308</v>
      </c>
    </row>
    <row r="159" ht="30" customHeight="1">
      <c r="A159">
        <v>905</v>
      </c>
      <c r="B159" s="1" t="s">
        <v>311</v>
      </c>
      <c r="C159">
        <v>1</v>
      </c>
      <c r="D159">
        <v>0</v>
      </c>
      <c r="E159">
        <v>0</v>
      </c>
      <c r="F159" s="9">
        <f t="shared" si="15"/>
        <v>0</v>
      </c>
      <c r="G159" s="9">
        <f t="shared" si="16"/>
        <v>1</v>
      </c>
      <c r="H159" s="9">
        <f t="shared" si="17"/>
        <v>1</v>
      </c>
      <c r="I159" s="9">
        <f t="shared" si="18"/>
        <v>1</v>
      </c>
      <c r="J159" s="9">
        <f t="shared" si="19"/>
        <v>0</v>
      </c>
      <c r="K159" s="9">
        <v>1</v>
      </c>
      <c r="L159" s="9">
        <v>1</v>
      </c>
      <c r="M159" s="2" t="s">
        <v>312</v>
      </c>
      <c r="N159" s="2" t="s">
        <v>32</v>
      </c>
      <c r="O159" s="2" t="s">
        <v>16</v>
      </c>
    </row>
    <row r="160" ht="30" customHeight="1">
      <c r="A160">
        <v>907</v>
      </c>
      <c r="B160" s="1" t="s">
        <v>313</v>
      </c>
      <c r="C160">
        <v>0</v>
      </c>
      <c r="D160">
        <v>0</v>
      </c>
      <c r="E160">
        <v>0</v>
      </c>
      <c r="F160" s="9">
        <f t="shared" si="15"/>
        <v>0</v>
      </c>
      <c r="G160" s="9">
        <f t="shared" si="16"/>
        <v>0</v>
      </c>
      <c r="H160" s="9">
        <f t="shared" si="17"/>
        <v>0</v>
      </c>
      <c r="I160" s="9">
        <f t="shared" si="18"/>
        <v>0</v>
      </c>
      <c r="J160" s="9">
        <f t="shared" si="19"/>
        <v>0</v>
      </c>
      <c r="K160" s="9">
        <v>0</v>
      </c>
      <c r="L160" s="9">
        <v>0</v>
      </c>
      <c r="M160" s="2" t="s">
        <v>16</v>
      </c>
      <c r="N160" s="2" t="s">
        <v>32</v>
      </c>
      <c r="O160" s="2" t="s">
        <v>16</v>
      </c>
    </row>
    <row r="161" ht="30" customHeight="1">
      <c r="A161">
        <v>921</v>
      </c>
      <c r="B161" s="1" t="s">
        <v>314</v>
      </c>
      <c r="C161">
        <v>1</v>
      </c>
      <c r="D161">
        <v>0</v>
      </c>
      <c r="E161">
        <v>0</v>
      </c>
      <c r="F161" s="9">
        <f t="shared" si="15"/>
        <v>0</v>
      </c>
      <c r="G161" s="9">
        <f t="shared" si="16"/>
        <v>1</v>
      </c>
      <c r="H161" s="9">
        <f t="shared" si="17"/>
        <v>1</v>
      </c>
      <c r="I161" s="9">
        <f t="shared" si="18"/>
        <v>1</v>
      </c>
      <c r="J161" s="9">
        <f t="shared" si="19"/>
        <v>0</v>
      </c>
      <c r="K161" s="9">
        <v>0</v>
      </c>
      <c r="L161" s="9">
        <v>0</v>
      </c>
      <c r="M161" s="2" t="s">
        <v>315</v>
      </c>
      <c r="N161" s="2" t="s">
        <v>32</v>
      </c>
      <c r="O161" s="2" t="s">
        <v>16</v>
      </c>
    </row>
    <row r="162" ht="30" customHeight="1">
      <c r="A162">
        <v>931</v>
      </c>
      <c r="B162" s="1" t="s">
        <v>316</v>
      </c>
      <c r="C162">
        <v>0</v>
      </c>
      <c r="D162">
        <v>0</v>
      </c>
      <c r="E162">
        <v>0</v>
      </c>
      <c r="F162" s="9">
        <f t="shared" si="15"/>
        <v>0</v>
      </c>
      <c r="G162" s="9">
        <f t="shared" si="16"/>
        <v>0</v>
      </c>
      <c r="H162" s="9">
        <f t="shared" si="17"/>
        <v>0</v>
      </c>
      <c r="I162" s="9">
        <f t="shared" si="18"/>
        <v>0</v>
      </c>
      <c r="J162" s="9">
        <f t="shared" si="19"/>
        <v>0</v>
      </c>
      <c r="K162" s="9">
        <v>0</v>
      </c>
      <c r="L162" s="9">
        <v>0</v>
      </c>
      <c r="M162" s="2" t="s">
        <v>16</v>
      </c>
      <c r="N162" s="2" t="s">
        <v>32</v>
      </c>
      <c r="O162" s="2" t="s">
        <v>16</v>
      </c>
    </row>
    <row r="163" ht="30" customHeight="1">
      <c r="A163">
        <v>937</v>
      </c>
      <c r="B163" s="1" t="s">
        <v>317</v>
      </c>
      <c r="C163">
        <v>0</v>
      </c>
      <c r="D163">
        <v>0</v>
      </c>
      <c r="E163">
        <v>0</v>
      </c>
      <c r="F163" s="9">
        <f t="shared" si="15"/>
        <v>0</v>
      </c>
      <c r="G163" s="9">
        <f t="shared" si="16"/>
        <v>0</v>
      </c>
      <c r="H163" s="9">
        <f t="shared" si="17"/>
        <v>0</v>
      </c>
      <c r="I163" s="9">
        <f t="shared" si="18"/>
        <v>0</v>
      </c>
      <c r="J163" s="9">
        <f t="shared" si="19"/>
        <v>0</v>
      </c>
      <c r="K163" s="9">
        <v>1</v>
      </c>
      <c r="L163" s="9">
        <v>1</v>
      </c>
      <c r="M163" s="2" t="s">
        <v>16</v>
      </c>
      <c r="N163" s="2" t="s">
        <v>32</v>
      </c>
      <c r="O163" s="2" t="s">
        <v>16</v>
      </c>
    </row>
    <row r="164" ht="30" customHeight="1">
      <c r="A164">
        <v>944</v>
      </c>
      <c r="B164" s="1" t="s">
        <v>318</v>
      </c>
      <c r="C164">
        <v>0</v>
      </c>
      <c r="D164">
        <v>0</v>
      </c>
      <c r="E164">
        <v>0</v>
      </c>
      <c r="F164" s="9">
        <f t="shared" ref="F164:F201" si="20">IF(SUM(C164,D164,E164)&gt;=2,1,0)</f>
        <v>0</v>
      </c>
      <c r="G164" s="9">
        <f t="shared" ref="G164:G201" si="21">SUM(C164:D164,E164)</f>
        <v>0</v>
      </c>
      <c r="H164" s="9">
        <f t="shared" ref="H164:H201" si="22">SUM(C164:D164)</f>
        <v>0</v>
      </c>
      <c r="I164" s="9">
        <f t="shared" ref="I164:I201" si="23">C164+E164</f>
        <v>0</v>
      </c>
      <c r="J164" s="9">
        <f t="shared" ref="J164:J201" si="24">D164+E164</f>
        <v>0</v>
      </c>
      <c r="K164" s="9">
        <v>0</v>
      </c>
      <c r="L164" s="9">
        <v>0</v>
      </c>
      <c r="M164" s="2" t="s">
        <v>16</v>
      </c>
      <c r="N164" s="2" t="s">
        <v>32</v>
      </c>
      <c r="O164" s="2" t="s">
        <v>16</v>
      </c>
    </row>
    <row r="165" ht="30" customHeight="1">
      <c r="A165">
        <v>954</v>
      </c>
      <c r="B165" s="1" t="s">
        <v>319</v>
      </c>
      <c r="C165">
        <v>0</v>
      </c>
      <c r="D165">
        <v>0</v>
      </c>
      <c r="E165">
        <v>0</v>
      </c>
      <c r="F165" s="9">
        <f t="shared" si="20"/>
        <v>0</v>
      </c>
      <c r="G165" s="9">
        <f t="shared" si="21"/>
        <v>0</v>
      </c>
      <c r="H165" s="9">
        <f t="shared" si="22"/>
        <v>0</v>
      </c>
      <c r="I165" s="9">
        <f t="shared" si="23"/>
        <v>0</v>
      </c>
      <c r="J165" s="9">
        <f t="shared" si="24"/>
        <v>0</v>
      </c>
      <c r="K165" s="9">
        <v>1</v>
      </c>
      <c r="L165" s="9">
        <v>1</v>
      </c>
      <c r="M165" s="2" t="s">
        <v>16</v>
      </c>
      <c r="N165" s="2" t="s">
        <v>32</v>
      </c>
      <c r="O165" s="2" t="s">
        <v>16</v>
      </c>
    </row>
    <row r="166" ht="30" customHeight="1">
      <c r="A166">
        <v>960</v>
      </c>
      <c r="B166" s="1" t="s">
        <v>320</v>
      </c>
      <c r="C166">
        <v>0</v>
      </c>
      <c r="D166">
        <v>0</v>
      </c>
      <c r="E166">
        <v>0</v>
      </c>
      <c r="F166" s="9">
        <f t="shared" si="20"/>
        <v>0</v>
      </c>
      <c r="G166" s="9">
        <f t="shared" si="21"/>
        <v>0</v>
      </c>
      <c r="H166" s="9">
        <f t="shared" si="22"/>
        <v>0</v>
      </c>
      <c r="I166" s="9">
        <f t="shared" si="23"/>
        <v>0</v>
      </c>
      <c r="J166" s="9">
        <f t="shared" si="24"/>
        <v>0</v>
      </c>
      <c r="K166" s="9">
        <v>1</v>
      </c>
      <c r="L166" s="9">
        <v>1</v>
      </c>
      <c r="M166" s="2" t="s">
        <v>16</v>
      </c>
      <c r="N166" s="2" t="s">
        <v>32</v>
      </c>
      <c r="O166" s="2" t="s">
        <v>16</v>
      </c>
    </row>
    <row r="167" ht="30" customHeight="1">
      <c r="A167">
        <v>962</v>
      </c>
      <c r="B167" s="1" t="s">
        <v>321</v>
      </c>
      <c r="C167">
        <v>0</v>
      </c>
      <c r="D167">
        <v>0</v>
      </c>
      <c r="E167">
        <v>0</v>
      </c>
      <c r="F167" s="9">
        <f t="shared" si="20"/>
        <v>0</v>
      </c>
      <c r="G167" s="9">
        <f t="shared" si="21"/>
        <v>0</v>
      </c>
      <c r="H167" s="9">
        <f t="shared" si="22"/>
        <v>0</v>
      </c>
      <c r="I167" s="9">
        <f t="shared" si="23"/>
        <v>0</v>
      </c>
      <c r="J167" s="9">
        <f t="shared" si="24"/>
        <v>0</v>
      </c>
      <c r="K167" s="9">
        <v>1</v>
      </c>
      <c r="L167" s="9">
        <v>1</v>
      </c>
      <c r="M167" s="2" t="s">
        <v>16</v>
      </c>
      <c r="N167" s="2" t="s">
        <v>32</v>
      </c>
      <c r="O167" s="2" t="s">
        <v>16</v>
      </c>
    </row>
    <row r="168" ht="30" customHeight="1">
      <c r="A168">
        <v>968</v>
      </c>
      <c r="B168" s="1" t="s">
        <v>322</v>
      </c>
      <c r="C168">
        <v>0</v>
      </c>
      <c r="D168">
        <v>0</v>
      </c>
      <c r="E168">
        <v>0</v>
      </c>
      <c r="F168" s="9">
        <f t="shared" si="20"/>
        <v>0</v>
      </c>
      <c r="G168" s="9">
        <f t="shared" si="21"/>
        <v>0</v>
      </c>
      <c r="H168" s="9">
        <f t="shared" si="22"/>
        <v>0</v>
      </c>
      <c r="I168" s="9">
        <f t="shared" si="23"/>
        <v>0</v>
      </c>
      <c r="J168" s="9">
        <f t="shared" si="24"/>
        <v>0</v>
      </c>
      <c r="K168" s="9">
        <v>0</v>
      </c>
      <c r="L168" s="9">
        <v>0</v>
      </c>
      <c r="M168" s="2" t="s">
        <v>16</v>
      </c>
      <c r="N168" s="2" t="s">
        <v>32</v>
      </c>
      <c r="O168" s="2" t="s">
        <v>16</v>
      </c>
    </row>
    <row r="169" ht="30" customHeight="1">
      <c r="A169">
        <v>969</v>
      </c>
      <c r="B169" s="1" t="s">
        <v>323</v>
      </c>
      <c r="C169">
        <v>1</v>
      </c>
      <c r="D169">
        <v>0</v>
      </c>
      <c r="E169">
        <v>0</v>
      </c>
      <c r="F169" s="9">
        <f t="shared" si="20"/>
        <v>0</v>
      </c>
      <c r="G169" s="9">
        <f t="shared" si="21"/>
        <v>1</v>
      </c>
      <c r="H169" s="9">
        <f t="shared" si="22"/>
        <v>1</v>
      </c>
      <c r="I169" s="9">
        <f t="shared" si="23"/>
        <v>1</v>
      </c>
      <c r="J169" s="9">
        <f t="shared" si="24"/>
        <v>0</v>
      </c>
      <c r="K169" s="9">
        <v>0</v>
      </c>
      <c r="L169" s="9">
        <v>0</v>
      </c>
      <c r="M169" s="2" t="s">
        <v>324</v>
      </c>
      <c r="N169" s="2" t="s">
        <v>32</v>
      </c>
      <c r="O169" s="2" t="s">
        <v>16</v>
      </c>
    </row>
    <row r="170" ht="30" customHeight="1">
      <c r="A170">
        <v>1002</v>
      </c>
      <c r="B170" s="1" t="s">
        <v>325</v>
      </c>
      <c r="C170">
        <v>0</v>
      </c>
      <c r="D170">
        <v>0</v>
      </c>
      <c r="E170">
        <v>0</v>
      </c>
      <c r="F170" s="9">
        <f t="shared" si="20"/>
        <v>0</v>
      </c>
      <c r="G170" s="9">
        <f t="shared" si="21"/>
        <v>0</v>
      </c>
      <c r="H170" s="9">
        <f t="shared" si="22"/>
        <v>0</v>
      </c>
      <c r="I170" s="9">
        <f t="shared" si="23"/>
        <v>0</v>
      </c>
      <c r="J170" s="9">
        <f t="shared" si="24"/>
        <v>0</v>
      </c>
      <c r="K170" s="9">
        <v>0</v>
      </c>
      <c r="L170" s="9">
        <v>0</v>
      </c>
      <c r="M170" s="2" t="s">
        <v>16</v>
      </c>
      <c r="N170" s="2" t="s">
        <v>32</v>
      </c>
      <c r="O170" s="2" t="s">
        <v>16</v>
      </c>
    </row>
    <row r="171" ht="30" customHeight="1">
      <c r="A171">
        <v>1004</v>
      </c>
      <c r="B171" s="1" t="s">
        <v>326</v>
      </c>
      <c r="C171">
        <v>0</v>
      </c>
      <c r="D171">
        <v>1</v>
      </c>
      <c r="E171">
        <v>1</v>
      </c>
      <c r="F171" s="9">
        <f t="shared" si="20"/>
        <v>1</v>
      </c>
      <c r="G171" s="9">
        <f t="shared" si="21"/>
        <v>2</v>
      </c>
      <c r="H171" s="9">
        <f t="shared" si="22"/>
        <v>1</v>
      </c>
      <c r="I171" s="9">
        <f t="shared" si="23"/>
        <v>1</v>
      </c>
      <c r="J171" s="9">
        <f t="shared" si="24"/>
        <v>2</v>
      </c>
      <c r="K171" s="9">
        <v>1</v>
      </c>
      <c r="L171" s="9">
        <v>1</v>
      </c>
      <c r="M171" s="2" t="s">
        <v>16</v>
      </c>
      <c r="N171" s="2" t="s">
        <v>327</v>
      </c>
      <c r="O171" s="2" t="s">
        <v>328</v>
      </c>
    </row>
    <row r="172" ht="30" customHeight="1">
      <c r="A172">
        <v>1006</v>
      </c>
      <c r="B172" s="1" t="s">
        <v>329</v>
      </c>
      <c r="C172">
        <v>0</v>
      </c>
      <c r="D172">
        <v>0</v>
      </c>
      <c r="E172">
        <v>0</v>
      </c>
      <c r="F172" s="9">
        <f t="shared" si="20"/>
        <v>0</v>
      </c>
      <c r="G172" s="9">
        <f t="shared" si="21"/>
        <v>0</v>
      </c>
      <c r="H172" s="9">
        <f t="shared" si="22"/>
        <v>0</v>
      </c>
      <c r="I172" s="9">
        <f t="shared" si="23"/>
        <v>0</v>
      </c>
      <c r="J172" s="9">
        <f t="shared" si="24"/>
        <v>0</v>
      </c>
      <c r="K172" s="9">
        <v>1</v>
      </c>
      <c r="L172" s="9">
        <v>1</v>
      </c>
      <c r="M172" s="2" t="s">
        <v>16</v>
      </c>
      <c r="N172" s="2" t="s">
        <v>32</v>
      </c>
      <c r="O172" s="2" t="s">
        <v>16</v>
      </c>
    </row>
    <row r="173" ht="30" customHeight="1">
      <c r="A173">
        <v>1025</v>
      </c>
      <c r="B173" s="1" t="s">
        <v>330</v>
      </c>
      <c r="C173">
        <v>1</v>
      </c>
      <c r="D173">
        <v>0</v>
      </c>
      <c r="E173">
        <v>0</v>
      </c>
      <c r="F173" s="9">
        <f t="shared" si="20"/>
        <v>0</v>
      </c>
      <c r="G173" s="9">
        <f t="shared" si="21"/>
        <v>1</v>
      </c>
      <c r="H173" s="9">
        <f t="shared" si="22"/>
        <v>1</v>
      </c>
      <c r="I173" s="9">
        <f t="shared" si="23"/>
        <v>1</v>
      </c>
      <c r="J173" s="9">
        <f t="shared" si="24"/>
        <v>0</v>
      </c>
      <c r="K173" s="9">
        <v>0</v>
      </c>
      <c r="L173" s="9">
        <v>0</v>
      </c>
      <c r="M173" s="2" t="s">
        <v>331</v>
      </c>
      <c r="N173" s="2" t="s">
        <v>32</v>
      </c>
      <c r="O173" s="2" t="s">
        <v>16</v>
      </c>
    </row>
    <row r="174" ht="30" customHeight="1">
      <c r="A174">
        <v>1033</v>
      </c>
      <c r="B174" s="1" t="s">
        <v>332</v>
      </c>
      <c r="C174">
        <v>1</v>
      </c>
      <c r="D174">
        <v>1</v>
      </c>
      <c r="E174">
        <v>1</v>
      </c>
      <c r="F174" s="9">
        <f t="shared" si="20"/>
        <v>1</v>
      </c>
      <c r="G174" s="9">
        <f t="shared" si="21"/>
        <v>3</v>
      </c>
      <c r="H174" s="9">
        <f t="shared" si="22"/>
        <v>2</v>
      </c>
      <c r="I174" s="9">
        <f t="shared" si="23"/>
        <v>2</v>
      </c>
      <c r="J174" s="9">
        <f t="shared" si="24"/>
        <v>2</v>
      </c>
      <c r="K174" s="9">
        <v>1</v>
      </c>
      <c r="L174" s="9">
        <v>1</v>
      </c>
      <c r="M174" s="2" t="s">
        <v>333</v>
      </c>
      <c r="N174" s="2" t="s">
        <v>334</v>
      </c>
      <c r="O174" s="2" t="s">
        <v>335</v>
      </c>
    </row>
    <row r="175" ht="30" customHeight="1">
      <c r="A175">
        <v>1042</v>
      </c>
      <c r="B175" s="1" t="s">
        <v>336</v>
      </c>
      <c r="C175">
        <v>0</v>
      </c>
      <c r="D175">
        <v>0</v>
      </c>
      <c r="E175">
        <v>0</v>
      </c>
      <c r="F175" s="9">
        <f t="shared" si="20"/>
        <v>0</v>
      </c>
      <c r="G175" s="9">
        <f t="shared" si="21"/>
        <v>0</v>
      </c>
      <c r="H175" s="9">
        <f t="shared" si="22"/>
        <v>0</v>
      </c>
      <c r="I175" s="9">
        <f t="shared" si="23"/>
        <v>0</v>
      </c>
      <c r="J175" s="9">
        <f t="shared" si="24"/>
        <v>0</v>
      </c>
      <c r="K175" s="9">
        <v>1</v>
      </c>
      <c r="L175" s="9">
        <v>1</v>
      </c>
      <c r="M175" s="2" t="s">
        <v>16</v>
      </c>
      <c r="N175" s="2" t="s">
        <v>32</v>
      </c>
      <c r="O175" s="2" t="s">
        <v>16</v>
      </c>
    </row>
    <row r="176" ht="30" customHeight="1">
      <c r="A176">
        <v>1053</v>
      </c>
      <c r="B176" s="1" t="s">
        <v>337</v>
      </c>
      <c r="C176">
        <v>0</v>
      </c>
      <c r="D176">
        <v>0</v>
      </c>
      <c r="E176">
        <v>0</v>
      </c>
      <c r="F176" s="9">
        <f t="shared" si="20"/>
        <v>0</v>
      </c>
      <c r="G176" s="9">
        <f t="shared" si="21"/>
        <v>0</v>
      </c>
      <c r="H176" s="9">
        <f t="shared" si="22"/>
        <v>0</v>
      </c>
      <c r="I176" s="9">
        <f t="shared" si="23"/>
        <v>0</v>
      </c>
      <c r="J176" s="9">
        <f t="shared" si="24"/>
        <v>0</v>
      </c>
      <c r="K176" s="9">
        <v>0</v>
      </c>
      <c r="L176" s="9">
        <v>0</v>
      </c>
      <c r="M176" s="2" t="s">
        <v>16</v>
      </c>
      <c r="N176" s="2" t="s">
        <v>32</v>
      </c>
      <c r="O176" s="2" t="s">
        <v>16</v>
      </c>
    </row>
    <row r="177" ht="30" customHeight="1">
      <c r="A177">
        <v>1063</v>
      </c>
      <c r="B177" s="1" t="s">
        <v>338</v>
      </c>
      <c r="C177">
        <v>0</v>
      </c>
      <c r="D177">
        <v>0</v>
      </c>
      <c r="E177">
        <v>0</v>
      </c>
      <c r="F177" s="9">
        <f t="shared" si="20"/>
        <v>0</v>
      </c>
      <c r="G177" s="9">
        <f t="shared" si="21"/>
        <v>0</v>
      </c>
      <c r="H177" s="9">
        <f t="shared" si="22"/>
        <v>0</v>
      </c>
      <c r="I177" s="9">
        <f t="shared" si="23"/>
        <v>0</v>
      </c>
      <c r="J177" s="9">
        <f t="shared" si="24"/>
        <v>0</v>
      </c>
      <c r="K177" s="9">
        <v>0</v>
      </c>
      <c r="L177" s="9">
        <v>0</v>
      </c>
      <c r="M177" s="2" t="s">
        <v>16</v>
      </c>
      <c r="N177" s="2" t="s">
        <v>32</v>
      </c>
      <c r="O177" s="2" t="s">
        <v>16</v>
      </c>
    </row>
    <row r="178" ht="30" customHeight="1">
      <c r="A178">
        <v>1064</v>
      </c>
      <c r="B178" s="1" t="s">
        <v>339</v>
      </c>
      <c r="C178">
        <v>0</v>
      </c>
      <c r="D178">
        <v>0</v>
      </c>
      <c r="E178">
        <v>0</v>
      </c>
      <c r="F178" s="9">
        <f t="shared" si="20"/>
        <v>0</v>
      </c>
      <c r="G178" s="9">
        <f t="shared" si="21"/>
        <v>0</v>
      </c>
      <c r="H178" s="9">
        <f t="shared" si="22"/>
        <v>0</v>
      </c>
      <c r="I178" s="9">
        <f t="shared" si="23"/>
        <v>0</v>
      </c>
      <c r="J178" s="9">
        <f t="shared" si="24"/>
        <v>0</v>
      </c>
      <c r="K178" s="9">
        <v>0</v>
      </c>
      <c r="L178" s="9">
        <v>0</v>
      </c>
      <c r="M178" s="2" t="s">
        <v>16</v>
      </c>
      <c r="N178" s="2" t="s">
        <v>32</v>
      </c>
      <c r="O178" s="2" t="s">
        <v>16</v>
      </c>
    </row>
    <row r="179" ht="30" customHeight="1">
      <c r="A179">
        <v>1073</v>
      </c>
      <c r="B179" s="1" t="s">
        <v>340</v>
      </c>
      <c r="C179">
        <v>0</v>
      </c>
      <c r="D179">
        <v>0</v>
      </c>
      <c r="E179">
        <v>0</v>
      </c>
      <c r="F179" s="9">
        <f t="shared" si="20"/>
        <v>0</v>
      </c>
      <c r="G179" s="9">
        <f t="shared" si="21"/>
        <v>0</v>
      </c>
      <c r="H179" s="9">
        <f t="shared" si="22"/>
        <v>0</v>
      </c>
      <c r="I179" s="9">
        <f t="shared" si="23"/>
        <v>0</v>
      </c>
      <c r="J179" s="9">
        <f t="shared" si="24"/>
        <v>0</v>
      </c>
      <c r="K179" s="9">
        <v>1</v>
      </c>
      <c r="L179" s="9">
        <v>1</v>
      </c>
      <c r="M179" s="2" t="s">
        <v>16</v>
      </c>
      <c r="N179" s="2" t="s">
        <v>32</v>
      </c>
      <c r="O179" s="2" t="s">
        <v>16</v>
      </c>
    </row>
    <row r="180" ht="30" customHeight="1">
      <c r="A180">
        <v>1076</v>
      </c>
      <c r="B180" s="1" t="s">
        <v>341</v>
      </c>
      <c r="C180">
        <v>0</v>
      </c>
      <c r="D180">
        <v>0</v>
      </c>
      <c r="E180">
        <v>0</v>
      </c>
      <c r="F180" s="9">
        <f t="shared" si="20"/>
        <v>0</v>
      </c>
      <c r="G180" s="9">
        <f t="shared" si="21"/>
        <v>0</v>
      </c>
      <c r="H180" s="9">
        <f t="shared" si="22"/>
        <v>0</v>
      </c>
      <c r="I180" s="9">
        <f t="shared" si="23"/>
        <v>0</v>
      </c>
      <c r="J180" s="9">
        <f t="shared" si="24"/>
        <v>0</v>
      </c>
      <c r="K180" s="9">
        <v>0</v>
      </c>
      <c r="L180" s="9">
        <v>0</v>
      </c>
      <c r="M180" s="2" t="s">
        <v>16</v>
      </c>
      <c r="N180" s="2" t="s">
        <v>32</v>
      </c>
      <c r="O180" s="2" t="s">
        <v>16</v>
      </c>
    </row>
    <row r="181" ht="30" customHeight="1">
      <c r="A181">
        <v>1182</v>
      </c>
      <c r="B181" s="1" t="s">
        <v>342</v>
      </c>
      <c r="C181">
        <v>0</v>
      </c>
      <c r="D181">
        <v>0</v>
      </c>
      <c r="E181">
        <v>0</v>
      </c>
      <c r="F181" s="9">
        <f t="shared" si="20"/>
        <v>0</v>
      </c>
      <c r="G181" s="9">
        <f t="shared" si="21"/>
        <v>0</v>
      </c>
      <c r="H181" s="9">
        <f t="shared" si="22"/>
        <v>0</v>
      </c>
      <c r="I181" s="9">
        <f t="shared" si="23"/>
        <v>0</v>
      </c>
      <c r="J181" s="9">
        <f t="shared" si="24"/>
        <v>0</v>
      </c>
      <c r="K181" s="9">
        <v>0</v>
      </c>
      <c r="L181" s="9">
        <v>0</v>
      </c>
      <c r="M181" s="2" t="s">
        <v>16</v>
      </c>
      <c r="N181" s="2" t="s">
        <v>32</v>
      </c>
      <c r="O181" s="2" t="s">
        <v>16</v>
      </c>
    </row>
    <row r="182" ht="30" customHeight="1">
      <c r="A182">
        <v>1184</v>
      </c>
      <c r="B182" s="1" t="s">
        <v>343</v>
      </c>
      <c r="C182">
        <v>0</v>
      </c>
      <c r="D182">
        <v>0</v>
      </c>
      <c r="E182">
        <v>0</v>
      </c>
      <c r="F182" s="9">
        <f t="shared" si="20"/>
        <v>0</v>
      </c>
      <c r="G182" s="9">
        <f t="shared" si="21"/>
        <v>0</v>
      </c>
      <c r="H182" s="9">
        <f t="shared" si="22"/>
        <v>0</v>
      </c>
      <c r="I182" s="9">
        <f t="shared" si="23"/>
        <v>0</v>
      </c>
      <c r="J182" s="9">
        <f t="shared" si="24"/>
        <v>0</v>
      </c>
      <c r="K182" s="9">
        <v>1</v>
      </c>
      <c r="L182" s="9">
        <v>1</v>
      </c>
      <c r="M182" s="2" t="s">
        <v>16</v>
      </c>
      <c r="N182" s="2" t="s">
        <v>32</v>
      </c>
      <c r="O182" s="2" t="s">
        <v>16</v>
      </c>
    </row>
    <row r="183" ht="30" customHeight="1">
      <c r="A183">
        <v>1186</v>
      </c>
      <c r="B183" s="1" t="s">
        <v>344</v>
      </c>
      <c r="C183">
        <v>0</v>
      </c>
      <c r="D183">
        <v>0</v>
      </c>
      <c r="E183">
        <v>0</v>
      </c>
      <c r="F183" s="9">
        <f t="shared" si="20"/>
        <v>0</v>
      </c>
      <c r="G183" s="9">
        <f t="shared" si="21"/>
        <v>0</v>
      </c>
      <c r="H183" s="9">
        <f t="shared" si="22"/>
        <v>0</v>
      </c>
      <c r="I183" s="9">
        <f t="shared" si="23"/>
        <v>0</v>
      </c>
      <c r="J183" s="9">
        <f t="shared" si="24"/>
        <v>0</v>
      </c>
      <c r="K183" s="9">
        <v>0</v>
      </c>
      <c r="L183" s="9">
        <v>0</v>
      </c>
      <c r="M183" s="2" t="s">
        <v>16</v>
      </c>
      <c r="N183" s="2" t="s">
        <v>32</v>
      </c>
      <c r="O183" s="2" t="s">
        <v>16</v>
      </c>
    </row>
    <row r="184" ht="30" customHeight="1">
      <c r="A184">
        <v>1187</v>
      </c>
      <c r="B184" s="1" t="s">
        <v>345</v>
      </c>
      <c r="C184">
        <v>0</v>
      </c>
      <c r="D184">
        <v>0</v>
      </c>
      <c r="E184">
        <v>0</v>
      </c>
      <c r="F184" s="9">
        <f t="shared" si="20"/>
        <v>0</v>
      </c>
      <c r="G184" s="9">
        <f t="shared" si="21"/>
        <v>0</v>
      </c>
      <c r="H184" s="9">
        <f t="shared" si="22"/>
        <v>0</v>
      </c>
      <c r="I184" s="9">
        <f t="shared" si="23"/>
        <v>0</v>
      </c>
      <c r="J184" s="9">
        <f t="shared" si="24"/>
        <v>0</v>
      </c>
      <c r="K184" s="9">
        <v>0</v>
      </c>
      <c r="L184" s="9">
        <v>0</v>
      </c>
      <c r="M184" s="2" t="s">
        <v>16</v>
      </c>
      <c r="N184" s="2" t="s">
        <v>32</v>
      </c>
      <c r="O184" s="2" t="s">
        <v>16</v>
      </c>
    </row>
    <row r="185" ht="30" customHeight="1">
      <c r="A185">
        <v>1190</v>
      </c>
      <c r="B185" s="1" t="s">
        <v>346</v>
      </c>
      <c r="C185">
        <v>0</v>
      </c>
      <c r="D185">
        <v>0</v>
      </c>
      <c r="E185">
        <v>0</v>
      </c>
      <c r="F185" s="9">
        <f t="shared" si="20"/>
        <v>0</v>
      </c>
      <c r="G185" s="9">
        <f t="shared" si="21"/>
        <v>0</v>
      </c>
      <c r="H185" s="9">
        <f t="shared" si="22"/>
        <v>0</v>
      </c>
      <c r="I185" s="9">
        <f t="shared" si="23"/>
        <v>0</v>
      </c>
      <c r="J185" s="9">
        <f t="shared" si="24"/>
        <v>0</v>
      </c>
      <c r="K185" s="9">
        <v>0</v>
      </c>
      <c r="L185" s="9">
        <v>0</v>
      </c>
      <c r="M185" s="2" t="s">
        <v>16</v>
      </c>
      <c r="N185" s="2" t="s">
        <v>32</v>
      </c>
      <c r="O185" s="2" t="s">
        <v>16</v>
      </c>
    </row>
    <row r="186" ht="30" customHeight="1">
      <c r="A186">
        <v>1193</v>
      </c>
      <c r="B186" s="1" t="s">
        <v>347</v>
      </c>
      <c r="C186">
        <v>0</v>
      </c>
      <c r="D186">
        <v>0</v>
      </c>
      <c r="E186">
        <v>0</v>
      </c>
      <c r="F186" s="9">
        <f t="shared" si="20"/>
        <v>0</v>
      </c>
      <c r="G186" s="9">
        <f t="shared" si="21"/>
        <v>0</v>
      </c>
      <c r="H186" s="9">
        <f t="shared" si="22"/>
        <v>0</v>
      </c>
      <c r="I186" s="9">
        <f t="shared" si="23"/>
        <v>0</v>
      </c>
      <c r="J186" s="9">
        <f t="shared" si="24"/>
        <v>0</v>
      </c>
      <c r="K186" s="9">
        <v>0</v>
      </c>
      <c r="L186" s="9">
        <v>0</v>
      </c>
      <c r="M186" s="2" t="s">
        <v>16</v>
      </c>
      <c r="N186" s="2" t="s">
        <v>32</v>
      </c>
      <c r="O186" s="2" t="s">
        <v>16</v>
      </c>
    </row>
    <row r="187" ht="30" customHeight="1">
      <c r="A187">
        <v>1200</v>
      </c>
      <c r="B187" s="1" t="s">
        <v>348</v>
      </c>
      <c r="C187">
        <v>0</v>
      </c>
      <c r="D187">
        <v>0</v>
      </c>
      <c r="E187">
        <v>0</v>
      </c>
      <c r="F187" s="9">
        <f t="shared" si="20"/>
        <v>0</v>
      </c>
      <c r="G187" s="9">
        <f t="shared" si="21"/>
        <v>0</v>
      </c>
      <c r="H187" s="9">
        <f t="shared" si="22"/>
        <v>0</v>
      </c>
      <c r="I187" s="9">
        <f t="shared" si="23"/>
        <v>0</v>
      </c>
      <c r="J187" s="9">
        <f t="shared" si="24"/>
        <v>0</v>
      </c>
      <c r="K187" s="9">
        <v>0</v>
      </c>
      <c r="L187" s="9">
        <v>0</v>
      </c>
      <c r="M187" s="2" t="s">
        <v>16</v>
      </c>
      <c r="N187" s="2" t="s">
        <v>32</v>
      </c>
      <c r="O187" s="2" t="s">
        <v>16</v>
      </c>
    </row>
    <row r="188" ht="30" customHeight="1">
      <c r="A188">
        <v>1205</v>
      </c>
      <c r="B188" s="1" t="s">
        <v>349</v>
      </c>
      <c r="C188">
        <v>0</v>
      </c>
      <c r="D188">
        <v>0</v>
      </c>
      <c r="E188">
        <v>0</v>
      </c>
      <c r="F188" s="9">
        <f t="shared" si="20"/>
        <v>0</v>
      </c>
      <c r="G188" s="9">
        <f t="shared" si="21"/>
        <v>0</v>
      </c>
      <c r="H188" s="9">
        <f t="shared" si="22"/>
        <v>0</v>
      </c>
      <c r="I188" s="9">
        <f t="shared" si="23"/>
        <v>0</v>
      </c>
      <c r="J188" s="9">
        <f t="shared" si="24"/>
        <v>0</v>
      </c>
      <c r="K188" s="9">
        <v>0</v>
      </c>
      <c r="L188" s="9">
        <v>0</v>
      </c>
      <c r="M188" s="2" t="s">
        <v>16</v>
      </c>
      <c r="N188" s="2" t="s">
        <v>32</v>
      </c>
      <c r="O188" s="2" t="s">
        <v>16</v>
      </c>
    </row>
    <row r="189" ht="30" customHeight="1">
      <c r="A189">
        <v>1206</v>
      </c>
      <c r="B189" s="1" t="s">
        <v>350</v>
      </c>
      <c r="C189">
        <v>0</v>
      </c>
      <c r="D189">
        <v>1</v>
      </c>
      <c r="E189">
        <v>0</v>
      </c>
      <c r="F189" s="9">
        <f t="shared" si="20"/>
        <v>0</v>
      </c>
      <c r="G189" s="9">
        <f t="shared" si="21"/>
        <v>1</v>
      </c>
      <c r="H189" s="9">
        <f t="shared" si="22"/>
        <v>1</v>
      </c>
      <c r="I189" s="9">
        <f t="shared" si="23"/>
        <v>0</v>
      </c>
      <c r="J189" s="9">
        <f t="shared" si="24"/>
        <v>1</v>
      </c>
      <c r="K189" s="9">
        <v>0</v>
      </c>
      <c r="L189" s="9">
        <v>0</v>
      </c>
      <c r="M189" s="2" t="s">
        <v>16</v>
      </c>
      <c r="N189" s="2" t="s">
        <v>351</v>
      </c>
      <c r="O189" s="2" t="s">
        <v>16</v>
      </c>
    </row>
    <row r="190" ht="30" customHeight="1">
      <c r="A190">
        <v>1213</v>
      </c>
      <c r="B190" s="1" t="s">
        <v>352</v>
      </c>
      <c r="C190">
        <v>1</v>
      </c>
      <c r="D190">
        <v>0</v>
      </c>
      <c r="E190">
        <v>0</v>
      </c>
      <c r="F190" s="9">
        <f t="shared" si="20"/>
        <v>0</v>
      </c>
      <c r="G190" s="9">
        <f t="shared" si="21"/>
        <v>1</v>
      </c>
      <c r="H190" s="9">
        <f t="shared" si="22"/>
        <v>1</v>
      </c>
      <c r="I190" s="9">
        <f t="shared" si="23"/>
        <v>1</v>
      </c>
      <c r="J190" s="9">
        <f t="shared" si="24"/>
        <v>0</v>
      </c>
      <c r="K190" s="9">
        <v>1</v>
      </c>
      <c r="L190" s="9">
        <v>1</v>
      </c>
      <c r="M190" s="2" t="s">
        <v>353</v>
      </c>
      <c r="N190" s="2" t="s">
        <v>32</v>
      </c>
      <c r="O190" s="2" t="s">
        <v>16</v>
      </c>
    </row>
    <row r="191" ht="30" customHeight="1">
      <c r="A191">
        <v>1226</v>
      </c>
      <c r="B191" s="1" t="s">
        <v>354</v>
      </c>
      <c r="C191">
        <v>0</v>
      </c>
      <c r="D191">
        <v>0</v>
      </c>
      <c r="E191">
        <v>0</v>
      </c>
      <c r="F191" s="9">
        <f t="shared" si="20"/>
        <v>0</v>
      </c>
      <c r="G191" s="9">
        <f t="shared" si="21"/>
        <v>0</v>
      </c>
      <c r="H191" s="9">
        <f t="shared" si="22"/>
        <v>0</v>
      </c>
      <c r="I191" s="9">
        <f t="shared" si="23"/>
        <v>0</v>
      </c>
      <c r="J191" s="9">
        <f t="shared" si="24"/>
        <v>0</v>
      </c>
      <c r="K191" s="9">
        <v>1</v>
      </c>
      <c r="L191" s="9">
        <v>1</v>
      </c>
      <c r="M191" s="2" t="s">
        <v>16</v>
      </c>
      <c r="N191" s="2" t="s">
        <v>32</v>
      </c>
      <c r="O191" s="2" t="s">
        <v>16</v>
      </c>
    </row>
    <row r="192" ht="30" customHeight="1">
      <c r="A192">
        <v>1232</v>
      </c>
      <c r="B192" s="1" t="s">
        <v>355</v>
      </c>
      <c r="C192">
        <v>0</v>
      </c>
      <c r="D192">
        <v>1</v>
      </c>
      <c r="E192">
        <v>0</v>
      </c>
      <c r="F192" s="9">
        <f t="shared" si="20"/>
        <v>0</v>
      </c>
      <c r="G192" s="9">
        <f t="shared" si="21"/>
        <v>1</v>
      </c>
      <c r="H192" s="9">
        <f t="shared" si="22"/>
        <v>1</v>
      </c>
      <c r="I192" s="9">
        <f t="shared" si="23"/>
        <v>0</v>
      </c>
      <c r="J192" s="9">
        <f t="shared" si="24"/>
        <v>1</v>
      </c>
      <c r="K192" s="9">
        <v>1</v>
      </c>
      <c r="L192" s="9">
        <v>1</v>
      </c>
      <c r="M192" s="2" t="s">
        <v>16</v>
      </c>
      <c r="N192" s="2" t="s">
        <v>356</v>
      </c>
      <c r="O192" s="2" t="s">
        <v>16</v>
      </c>
    </row>
    <row r="193" ht="30" customHeight="1">
      <c r="A193">
        <v>1235</v>
      </c>
      <c r="B193" s="1" t="s">
        <v>357</v>
      </c>
      <c r="C193">
        <v>1</v>
      </c>
      <c r="D193">
        <v>0</v>
      </c>
      <c r="E193">
        <v>1</v>
      </c>
      <c r="F193" s="9">
        <f t="shared" si="20"/>
        <v>1</v>
      </c>
      <c r="G193" s="9">
        <f t="shared" si="21"/>
        <v>2</v>
      </c>
      <c r="H193" s="9">
        <f t="shared" si="22"/>
        <v>1</v>
      </c>
      <c r="I193" s="9">
        <f t="shared" si="23"/>
        <v>2</v>
      </c>
      <c r="J193" s="9">
        <f t="shared" si="24"/>
        <v>1</v>
      </c>
      <c r="K193" s="9">
        <v>1</v>
      </c>
      <c r="L193" s="9">
        <v>1</v>
      </c>
      <c r="M193" s="2" t="s">
        <v>219</v>
      </c>
      <c r="N193" s="2" t="s">
        <v>32</v>
      </c>
      <c r="O193" s="2" t="s">
        <v>358</v>
      </c>
    </row>
    <row r="194" ht="30" customHeight="1">
      <c r="A194">
        <v>1247</v>
      </c>
      <c r="B194" s="1" t="s">
        <v>359</v>
      </c>
      <c r="C194">
        <v>1</v>
      </c>
      <c r="D194">
        <v>0</v>
      </c>
      <c r="E194">
        <v>0</v>
      </c>
      <c r="F194" s="9">
        <f t="shared" si="20"/>
        <v>0</v>
      </c>
      <c r="G194" s="9">
        <f t="shared" si="21"/>
        <v>1</v>
      </c>
      <c r="H194" s="9">
        <f t="shared" si="22"/>
        <v>1</v>
      </c>
      <c r="I194" s="9">
        <f t="shared" si="23"/>
        <v>1</v>
      </c>
      <c r="J194" s="9">
        <f t="shared" si="24"/>
        <v>0</v>
      </c>
      <c r="K194" s="9">
        <v>0</v>
      </c>
      <c r="L194" s="9">
        <v>0</v>
      </c>
      <c r="M194" s="2" t="s">
        <v>75</v>
      </c>
      <c r="N194" s="2" t="s">
        <v>32</v>
      </c>
      <c r="O194" s="2" t="s">
        <v>16</v>
      </c>
    </row>
    <row r="195" ht="30" customHeight="1">
      <c r="A195">
        <v>1248</v>
      </c>
      <c r="B195" s="1" t="s">
        <v>360</v>
      </c>
      <c r="C195">
        <v>0</v>
      </c>
      <c r="D195">
        <v>1</v>
      </c>
      <c r="E195">
        <v>0</v>
      </c>
      <c r="F195" s="9">
        <f t="shared" si="20"/>
        <v>0</v>
      </c>
      <c r="G195" s="9">
        <f t="shared" si="21"/>
        <v>1</v>
      </c>
      <c r="H195" s="9">
        <f t="shared" si="22"/>
        <v>1</v>
      </c>
      <c r="I195" s="9">
        <f t="shared" si="23"/>
        <v>0</v>
      </c>
      <c r="J195" s="9">
        <f t="shared" si="24"/>
        <v>1</v>
      </c>
      <c r="K195" s="9">
        <v>1</v>
      </c>
      <c r="L195" s="9">
        <v>1</v>
      </c>
      <c r="M195" s="2" t="s">
        <v>16</v>
      </c>
      <c r="N195" s="2" t="s">
        <v>361</v>
      </c>
      <c r="O195" s="2" t="s">
        <v>16</v>
      </c>
    </row>
    <row r="196" ht="30" customHeight="1">
      <c r="A196">
        <v>1256</v>
      </c>
      <c r="B196" s="1" t="s">
        <v>362</v>
      </c>
      <c r="C196">
        <v>0</v>
      </c>
      <c r="D196">
        <v>1</v>
      </c>
      <c r="E196">
        <v>1</v>
      </c>
      <c r="F196" s="9">
        <f t="shared" si="20"/>
        <v>1</v>
      </c>
      <c r="G196" s="9">
        <f t="shared" si="21"/>
        <v>2</v>
      </c>
      <c r="H196" s="9">
        <f t="shared" si="22"/>
        <v>1</v>
      </c>
      <c r="I196" s="9">
        <f t="shared" si="23"/>
        <v>1</v>
      </c>
      <c r="J196" s="9">
        <f t="shared" si="24"/>
        <v>2</v>
      </c>
      <c r="K196" s="9">
        <v>1</v>
      </c>
      <c r="L196" s="9">
        <v>1</v>
      </c>
      <c r="M196" s="2" t="s">
        <v>16</v>
      </c>
      <c r="N196" s="2" t="s">
        <v>363</v>
      </c>
      <c r="O196" s="2" t="s">
        <v>364</v>
      </c>
    </row>
    <row r="197" ht="30" customHeight="1">
      <c r="A197">
        <v>1258</v>
      </c>
      <c r="B197" s="1" t="s">
        <v>365</v>
      </c>
      <c r="C197">
        <v>0</v>
      </c>
      <c r="D197">
        <v>0</v>
      </c>
      <c r="E197">
        <v>0</v>
      </c>
      <c r="F197" s="9">
        <f t="shared" si="20"/>
        <v>0</v>
      </c>
      <c r="G197" s="9">
        <f t="shared" si="21"/>
        <v>0</v>
      </c>
      <c r="H197" s="9">
        <f t="shared" si="22"/>
        <v>0</v>
      </c>
      <c r="I197" s="9">
        <f t="shared" si="23"/>
        <v>0</v>
      </c>
      <c r="J197" s="9">
        <f t="shared" si="24"/>
        <v>0</v>
      </c>
      <c r="K197" s="9">
        <v>0</v>
      </c>
      <c r="L197" s="9">
        <v>0</v>
      </c>
      <c r="M197" s="2" t="s">
        <v>16</v>
      </c>
      <c r="N197" s="2" t="s">
        <v>32</v>
      </c>
      <c r="O197" s="2" t="s">
        <v>16</v>
      </c>
    </row>
    <row r="198" ht="30" customHeight="1">
      <c r="A198">
        <v>1261</v>
      </c>
      <c r="B198" s="1" t="s">
        <v>366</v>
      </c>
      <c r="C198">
        <v>0</v>
      </c>
      <c r="D198">
        <v>0</v>
      </c>
      <c r="E198">
        <v>0</v>
      </c>
      <c r="F198" s="9">
        <f t="shared" si="20"/>
        <v>0</v>
      </c>
      <c r="G198" s="9">
        <f t="shared" si="21"/>
        <v>0</v>
      </c>
      <c r="H198" s="9">
        <f t="shared" si="22"/>
        <v>0</v>
      </c>
      <c r="I198" s="9">
        <f t="shared" si="23"/>
        <v>0</v>
      </c>
      <c r="J198" s="9">
        <f t="shared" si="24"/>
        <v>0</v>
      </c>
      <c r="K198" s="9">
        <v>0</v>
      </c>
      <c r="L198" s="9">
        <v>0</v>
      </c>
      <c r="M198" s="2" t="s">
        <v>16</v>
      </c>
      <c r="N198" s="2" t="s">
        <v>32</v>
      </c>
      <c r="O198" s="2" t="s">
        <v>16</v>
      </c>
    </row>
    <row r="199" ht="30" customHeight="1">
      <c r="A199">
        <v>1270</v>
      </c>
      <c r="B199" s="1" t="s">
        <v>367</v>
      </c>
      <c r="C199">
        <v>1</v>
      </c>
      <c r="D199">
        <v>1</v>
      </c>
      <c r="E199">
        <v>0</v>
      </c>
      <c r="F199" s="9">
        <f t="shared" si="20"/>
        <v>1</v>
      </c>
      <c r="G199" s="9">
        <f t="shared" si="21"/>
        <v>2</v>
      </c>
      <c r="H199" s="9">
        <f t="shared" si="22"/>
        <v>2</v>
      </c>
      <c r="I199" s="9">
        <f t="shared" si="23"/>
        <v>1</v>
      </c>
      <c r="J199" s="9">
        <f t="shared" si="24"/>
        <v>1</v>
      </c>
      <c r="K199" s="9">
        <v>1</v>
      </c>
      <c r="L199" s="9">
        <v>0</v>
      </c>
      <c r="M199" s="2" t="s">
        <v>56</v>
      </c>
      <c r="N199" s="2" t="s">
        <v>368</v>
      </c>
      <c r="O199" s="2" t="s">
        <v>16</v>
      </c>
    </row>
    <row r="200" ht="30" customHeight="1">
      <c r="A200">
        <v>1282</v>
      </c>
      <c r="B200" s="1" t="s">
        <v>369</v>
      </c>
      <c r="C200">
        <v>1</v>
      </c>
      <c r="D200">
        <v>0</v>
      </c>
      <c r="E200">
        <v>0</v>
      </c>
      <c r="F200" s="9">
        <f t="shared" si="20"/>
        <v>0</v>
      </c>
      <c r="G200" s="9">
        <f t="shared" si="21"/>
        <v>1</v>
      </c>
      <c r="H200" s="9">
        <f t="shared" si="22"/>
        <v>1</v>
      </c>
      <c r="I200" s="9">
        <f t="shared" si="23"/>
        <v>1</v>
      </c>
      <c r="J200" s="9">
        <f t="shared" si="24"/>
        <v>0</v>
      </c>
      <c r="K200" s="9">
        <v>1</v>
      </c>
      <c r="L200" s="9">
        <v>1</v>
      </c>
      <c r="M200" s="2" t="s">
        <v>370</v>
      </c>
      <c r="N200" s="2" t="s">
        <v>32</v>
      </c>
      <c r="O200" s="2" t="s">
        <v>16</v>
      </c>
    </row>
    <row r="201" ht="30" customHeight="1">
      <c r="A201">
        <v>1340</v>
      </c>
      <c r="B201" s="1" t="s">
        <v>371</v>
      </c>
      <c r="C201">
        <v>0</v>
      </c>
      <c r="D201">
        <v>0</v>
      </c>
      <c r="E201">
        <v>0</v>
      </c>
      <c r="F201" s="9">
        <f t="shared" si="20"/>
        <v>0</v>
      </c>
      <c r="G201" s="9">
        <f t="shared" si="21"/>
        <v>0</v>
      </c>
      <c r="H201" s="9">
        <f t="shared" si="22"/>
        <v>0</v>
      </c>
      <c r="I201" s="9">
        <f t="shared" si="23"/>
        <v>0</v>
      </c>
      <c r="J201" s="9">
        <f t="shared" si="24"/>
        <v>0</v>
      </c>
      <c r="K201" s="9">
        <v>0</v>
      </c>
      <c r="L201" s="9">
        <v>0</v>
      </c>
      <c r="M201" s="2" t="s">
        <v>16</v>
      </c>
      <c r="N201" s="2" t="s">
        <v>32</v>
      </c>
      <c r="O201" s="2" t="s">
        <v>16</v>
      </c>
    </row>
    <row r="202">
      <c r="C202" s="10">
        <f>SUM(C2:C201)</f>
        <v>58</v>
      </c>
      <c r="D202" s="10">
        <f>SUM(D2:D201)</f>
        <v>77</v>
      </c>
      <c r="E202" s="10">
        <f>SUM(E2:E201)</f>
        <v>51</v>
      </c>
      <c r="F202" s="10">
        <f>SUM(F2:F201)</f>
        <v>59</v>
      </c>
      <c r="G202">
        <f>COUNTIF(G2:G201,0)</f>
        <v>95</v>
      </c>
      <c r="H202">
        <f>COUNTIF(H2:H201,0)</f>
        <v>96</v>
      </c>
      <c r="I202">
        <f>COUNTIF(I2:I201,0)</f>
        <v>114</v>
      </c>
      <c r="J202">
        <f>COUNTIF(J2:J201,0)</f>
        <v>121</v>
      </c>
      <c r="K202" s="10">
        <f>SUM(K2:K201)</f>
        <v>99</v>
      </c>
      <c r="L202" s="11">
        <v>96</v>
      </c>
    </row>
    <row r="203">
      <c r="C203" s="10">
        <f>SUM(C2:C201)/200</f>
        <v>0.28999999999999998</v>
      </c>
      <c r="D203" s="10">
        <f>SUM(D2:D201)/200</f>
        <v>0.38500000000000001</v>
      </c>
      <c r="E203" s="10">
        <f>SUM(E2:E201)/200</f>
        <v>0.255</v>
      </c>
      <c r="F203" s="10">
        <f>SUM(F2:F201)/200</f>
        <v>0.29499999999999998</v>
      </c>
      <c r="G203">
        <f>COUNTIF(G2:G201,1)</f>
        <v>46</v>
      </c>
      <c r="H203">
        <f>COUNTIF(H2:H201,1)</f>
        <v>73</v>
      </c>
      <c r="I203">
        <f>COUNTIF(I2:I201,1)</f>
        <v>63</v>
      </c>
      <c r="J203">
        <f>COUNTIF(J2:J201,1)</f>
        <v>30</v>
      </c>
      <c r="K203" s="10">
        <f>SUM(K2:K201)/200</f>
        <v>0.495</v>
      </c>
      <c r="L203" s="10">
        <v>0.47999999999999998</v>
      </c>
    </row>
    <row r="204">
      <c r="G204">
        <f>COUNTIF(G2:G201,2)</f>
        <v>37</v>
      </c>
      <c r="H204">
        <f>COUNTIF(H2:H201,2)</f>
        <v>31</v>
      </c>
      <c r="I204">
        <f>COUNTIF(I2:I201,2)</f>
        <v>23</v>
      </c>
      <c r="J204">
        <f>COUNTIF(J2:J201,2)</f>
        <v>49</v>
      </c>
      <c r="L204" s="2"/>
      <c r="M204" s="1"/>
      <c r="N204" s="2"/>
      <c r="O204"/>
    </row>
    <row r="205">
      <c r="G205">
        <f>COUNTIF(G2:G202,3)</f>
        <v>22</v>
      </c>
      <c r="L205" s="2"/>
      <c r="M205" s="1"/>
      <c r="N205" s="2"/>
      <c r="O205"/>
    </row>
  </sheetData>
  <sortState ref="A2:O205">
    <sortCondition ref="A2:A205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W205" activeCellId="0" sqref="W205"/>
    </sheetView>
  </sheetViews>
  <sheetFormatPr defaultColWidth="13.7109375" defaultRowHeight="14.449999999999999"/>
  <cols>
    <col min="1" max="1" width="8.7109375"/>
    <col customWidth="1" min="2" max="2" style="1" width="96.140625"/>
    <col customWidth="1" min="3" max="3" width="20.85546875"/>
    <col customWidth="1" min="4" max="4" width="19.140625"/>
    <col customWidth="1" min="5" max="5" width="20.28515625"/>
    <col customWidth="1" min="7" max="7" width="16.85546875"/>
    <col customWidth="1" min="8" max="10" width="21.28515625"/>
    <col customWidth="1" min="11" max="11" width="20.28515625"/>
    <col customWidth="1" min="12" max="12" width="18.28515625"/>
    <col customWidth="1" min="13" max="13" width="19.140625"/>
    <col customWidth="1" min="15" max="15" width="16.85546875"/>
    <col customWidth="1" min="16" max="18" width="21.28515625"/>
    <col customWidth="1" min="19" max="19" width="19.85546875"/>
    <col customWidth="1" min="20" max="20" width="20.7109375"/>
    <col customWidth="1" min="21" max="21" width="21"/>
    <col customWidth="1" min="23" max="23" width="16.85546875"/>
    <col customWidth="1" min="24" max="26" width="21.28515625"/>
    <col customWidth="1" min="27" max="27" width="24"/>
    <col customWidth="1" min="28" max="28" width="20.140625"/>
    <col customWidth="1" min="29" max="29" width="20.28515625"/>
    <col customWidth="1" min="31" max="31" width="16.85546875"/>
    <col customWidth="1" min="32" max="34" width="21.28515625"/>
    <col customWidth="1" min="35" max="35" style="12" width="19"/>
    <col customWidth="1" min="36" max="37" width="20.42578125"/>
    <col customWidth="1" min="40" max="40" width="16.85546875"/>
    <col customWidth="1" min="41" max="43" width="21.28515625"/>
  </cols>
  <sheetData>
    <row r="1">
      <c r="A1" s="3" t="s">
        <v>0</v>
      </c>
      <c r="B1" s="4" t="s">
        <v>1</v>
      </c>
      <c r="C1" s="13" t="s">
        <v>372</v>
      </c>
      <c r="D1" s="13" t="s">
        <v>373</v>
      </c>
      <c r="E1" s="13" t="s">
        <v>374</v>
      </c>
      <c r="F1" s="3" t="s">
        <v>375</v>
      </c>
      <c r="G1" s="3" t="s">
        <v>376</v>
      </c>
      <c r="H1" s="3" t="s">
        <v>377</v>
      </c>
      <c r="I1" s="3" t="s">
        <v>378</v>
      </c>
      <c r="J1" s="3" t="s">
        <v>379</v>
      </c>
      <c r="K1" s="13" t="s">
        <v>380</v>
      </c>
      <c r="L1" s="13" t="s">
        <v>381</v>
      </c>
      <c r="M1" s="13" t="s">
        <v>382</v>
      </c>
      <c r="N1" s="3" t="s">
        <v>383</v>
      </c>
      <c r="O1" s="3" t="s">
        <v>384</v>
      </c>
      <c r="P1" s="3" t="s">
        <v>385</v>
      </c>
      <c r="Q1" s="3" t="s">
        <v>386</v>
      </c>
      <c r="R1" s="3" t="s">
        <v>387</v>
      </c>
      <c r="S1" s="13" t="s">
        <v>388</v>
      </c>
      <c r="T1" s="13" t="s">
        <v>389</v>
      </c>
      <c r="U1" s="13" t="s">
        <v>390</v>
      </c>
      <c r="V1" s="3" t="s">
        <v>391</v>
      </c>
      <c r="W1" s="3" t="s">
        <v>392</v>
      </c>
      <c r="X1" s="3" t="s">
        <v>393</v>
      </c>
      <c r="Y1" s="3" t="s">
        <v>394</v>
      </c>
      <c r="Z1" s="3" t="s">
        <v>395</v>
      </c>
      <c r="AA1" s="13" t="s">
        <v>396</v>
      </c>
      <c r="AB1" s="13" t="s">
        <v>397</v>
      </c>
      <c r="AC1" s="13" t="s">
        <v>398</v>
      </c>
      <c r="AD1" s="3" t="s">
        <v>399</v>
      </c>
      <c r="AE1" s="3" t="s">
        <v>400</v>
      </c>
      <c r="AF1" s="3" t="s">
        <v>401</v>
      </c>
      <c r="AG1" s="3" t="s">
        <v>402</v>
      </c>
      <c r="AH1" s="3" t="s">
        <v>403</v>
      </c>
      <c r="AI1" s="14" t="s">
        <v>404</v>
      </c>
      <c r="AJ1" s="13" t="s">
        <v>405</v>
      </c>
      <c r="AK1" s="13" t="s">
        <v>406</v>
      </c>
      <c r="AL1" s="5" t="s">
        <v>10</v>
      </c>
      <c r="AM1" s="5" t="s">
        <v>11</v>
      </c>
      <c r="AN1" s="3" t="s">
        <v>407</v>
      </c>
      <c r="AO1" s="3" t="s">
        <v>408</v>
      </c>
      <c r="AP1" s="3" t="s">
        <v>409</v>
      </c>
      <c r="AQ1" s="3" t="s">
        <v>410</v>
      </c>
    </row>
    <row r="2" ht="29.100000000000001">
      <c r="A2">
        <v>60</v>
      </c>
      <c r="B2" s="8" t="s">
        <v>15</v>
      </c>
      <c r="C2">
        <v>1</v>
      </c>
      <c r="D2">
        <v>1</v>
      </c>
      <c r="E2">
        <v>1</v>
      </c>
      <c r="F2" s="12">
        <f t="shared" ref="F2:F33" si="25">IF(SUM(C2,D2,E2)&gt;=2,1,0)</f>
        <v>1</v>
      </c>
      <c r="G2" s="9">
        <f t="shared" ref="G2:G65" si="26">C2+D2+E2</f>
        <v>3</v>
      </c>
      <c r="H2" s="9">
        <f t="shared" ref="H2:H33" si="27">C2+D2</f>
        <v>2</v>
      </c>
      <c r="I2" s="9">
        <f t="shared" ref="I2:I33" si="28">C2+E2</f>
        <v>2</v>
      </c>
      <c r="J2" s="9">
        <f t="shared" ref="J2:J33" si="29">D2+E2</f>
        <v>2</v>
      </c>
      <c r="K2">
        <v>0</v>
      </c>
      <c r="L2">
        <v>0</v>
      </c>
      <c r="M2">
        <v>0</v>
      </c>
      <c r="N2" s="12">
        <f t="shared" ref="N2:N33" si="30">IF(SUM(K2,L2,M2)&gt;=2,1,0)</f>
        <v>0</v>
      </c>
      <c r="O2" s="9">
        <f t="shared" ref="O2:O65" si="31">K2+L2+M2</f>
        <v>0</v>
      </c>
      <c r="P2" s="9">
        <f t="shared" ref="P2:P33" si="32">K2+L2</f>
        <v>0</v>
      </c>
      <c r="Q2" s="9">
        <f t="shared" ref="Q2:Q33" si="33">K2+M2</f>
        <v>0</v>
      </c>
      <c r="R2" s="9">
        <f t="shared" ref="R2:R33" si="34">L2+M2</f>
        <v>0</v>
      </c>
      <c r="S2">
        <v>0</v>
      </c>
      <c r="T2">
        <v>0</v>
      </c>
      <c r="U2">
        <v>0</v>
      </c>
      <c r="V2" s="12">
        <f t="shared" ref="V2:V33" si="35">IF(SUM(S2,T2,U2)&gt;=2,1,0)</f>
        <v>0</v>
      </c>
      <c r="W2" s="9">
        <f t="shared" ref="W2:W65" si="36">S2+T2+U2</f>
        <v>0</v>
      </c>
      <c r="X2" s="9">
        <f t="shared" ref="X2:X33" si="37">S2+T2</f>
        <v>0</v>
      </c>
      <c r="Y2" s="9">
        <f t="shared" ref="Y2:Y33" si="38">S2+U2</f>
        <v>0</v>
      </c>
      <c r="Z2" s="9">
        <f t="shared" ref="Z2:Z33" si="39">T2+U2</f>
        <v>0</v>
      </c>
      <c r="AA2">
        <v>0</v>
      </c>
      <c r="AB2">
        <v>0</v>
      </c>
      <c r="AC2">
        <v>0</v>
      </c>
      <c r="AD2" s="12">
        <f t="shared" ref="AD2:AD33" si="40">IF(SUM(AA2,AB2,AC2)&gt;=2,1,0)</f>
        <v>0</v>
      </c>
      <c r="AE2" s="9">
        <f t="shared" ref="AE2:AE33" si="41">AA2+AB2+AC2</f>
        <v>0</v>
      </c>
      <c r="AF2" s="9">
        <f t="shared" ref="AF2:AF33" si="42">AA2+AB2</f>
        <v>0</v>
      </c>
      <c r="AG2" s="9">
        <f t="shared" ref="AG2:AG33" si="43">AA2+AC2</f>
        <v>0</v>
      </c>
      <c r="AH2" s="9">
        <f t="shared" ref="AH2:AH33" si="44">AB2+AC2</f>
        <v>0</v>
      </c>
      <c r="AI2" s="15">
        <f t="shared" ref="AI2:AI33" si="45">IF(SUM(C2+K2+S2+AA2)&gt;=1,1,0)</f>
        <v>1</v>
      </c>
      <c r="AJ2" s="15">
        <f t="shared" ref="AJ2:AJ33" si="46">IF(SUM(D2+L2+T2+AB2)&gt;=1,1,0)</f>
        <v>1</v>
      </c>
      <c r="AK2" s="15">
        <f t="shared" ref="AK2:AK33" si="47">IF(SUM(E2+M2+U2+AC2)&gt;=1,1,0)</f>
        <v>1</v>
      </c>
      <c r="AL2" s="12">
        <f t="shared" ref="AL2:AL33" si="48">IF(SUM(AI2,AJ2,AK2)&gt;=2,1,0)</f>
        <v>1</v>
      </c>
      <c r="AM2" s="12">
        <f t="shared" ref="AM2:AM33" si="49">IF(SUM(F2,N2,V2,AD2)&gt;=1,1,0)</f>
        <v>1</v>
      </c>
      <c r="AN2" s="9">
        <f t="shared" ref="AN2:AN33" si="50">AI2+AJ2+AK2</f>
        <v>3</v>
      </c>
      <c r="AO2" s="9">
        <f t="shared" ref="AO2:AO33" si="51">AI2+AJ2</f>
        <v>2</v>
      </c>
      <c r="AP2" s="9">
        <f t="shared" ref="AP2:AP33" si="52">AI2+AK2</f>
        <v>2</v>
      </c>
      <c r="AQ2" s="9">
        <f t="shared" ref="AQ2:AQ33" si="53">AJ2+AK2</f>
        <v>2</v>
      </c>
    </row>
    <row r="3">
      <c r="A3">
        <v>67</v>
      </c>
      <c r="B3" s="8" t="s">
        <v>19</v>
      </c>
      <c r="C3">
        <v>0</v>
      </c>
      <c r="D3">
        <v>1</v>
      </c>
      <c r="E3">
        <v>0</v>
      </c>
      <c r="F3" s="12">
        <f t="shared" si="25"/>
        <v>0</v>
      </c>
      <c r="G3" s="9">
        <f t="shared" si="26"/>
        <v>1</v>
      </c>
      <c r="H3" s="9">
        <f t="shared" si="27"/>
        <v>1</v>
      </c>
      <c r="I3" s="9">
        <f t="shared" si="28"/>
        <v>0</v>
      </c>
      <c r="J3" s="9">
        <f t="shared" si="29"/>
        <v>1</v>
      </c>
      <c r="K3">
        <v>0</v>
      </c>
      <c r="L3">
        <v>0</v>
      </c>
      <c r="M3">
        <v>0</v>
      </c>
      <c r="N3" s="12">
        <f t="shared" si="30"/>
        <v>0</v>
      </c>
      <c r="O3" s="9">
        <f t="shared" si="31"/>
        <v>0</v>
      </c>
      <c r="P3" s="9">
        <f t="shared" si="32"/>
        <v>0</v>
      </c>
      <c r="Q3" s="9">
        <f t="shared" si="33"/>
        <v>0</v>
      </c>
      <c r="R3" s="9">
        <f t="shared" si="34"/>
        <v>0</v>
      </c>
      <c r="S3">
        <v>0</v>
      </c>
      <c r="T3">
        <v>0</v>
      </c>
      <c r="U3">
        <v>0</v>
      </c>
      <c r="V3" s="12">
        <f t="shared" si="35"/>
        <v>0</v>
      </c>
      <c r="W3" s="9">
        <f t="shared" si="36"/>
        <v>0</v>
      </c>
      <c r="X3" s="9">
        <f t="shared" si="37"/>
        <v>0</v>
      </c>
      <c r="Y3" s="9">
        <f t="shared" si="38"/>
        <v>0</v>
      </c>
      <c r="Z3" s="9">
        <f t="shared" si="39"/>
        <v>0</v>
      </c>
      <c r="AA3">
        <v>0</v>
      </c>
      <c r="AB3">
        <v>0</v>
      </c>
      <c r="AC3">
        <v>0</v>
      </c>
      <c r="AD3" s="12">
        <f t="shared" si="40"/>
        <v>0</v>
      </c>
      <c r="AE3" s="9">
        <f t="shared" si="41"/>
        <v>0</v>
      </c>
      <c r="AF3" s="9">
        <f t="shared" si="42"/>
        <v>0</v>
      </c>
      <c r="AG3" s="9">
        <f t="shared" si="43"/>
        <v>0</v>
      </c>
      <c r="AH3" s="9">
        <f t="shared" si="44"/>
        <v>0</v>
      </c>
      <c r="AI3" s="15">
        <f t="shared" si="45"/>
        <v>0</v>
      </c>
      <c r="AJ3" s="15">
        <f t="shared" si="46"/>
        <v>1</v>
      </c>
      <c r="AK3" s="15">
        <f t="shared" si="47"/>
        <v>0</v>
      </c>
      <c r="AL3" s="12">
        <f t="shared" si="48"/>
        <v>0</v>
      </c>
      <c r="AM3" s="12">
        <f t="shared" si="49"/>
        <v>0</v>
      </c>
      <c r="AN3" s="9">
        <f t="shared" si="50"/>
        <v>1</v>
      </c>
      <c r="AO3" s="9">
        <f t="shared" si="51"/>
        <v>1</v>
      </c>
      <c r="AP3" s="9">
        <f t="shared" si="52"/>
        <v>0</v>
      </c>
      <c r="AQ3" s="9">
        <f t="shared" si="53"/>
        <v>1</v>
      </c>
    </row>
    <row r="4">
      <c r="A4">
        <v>69</v>
      </c>
      <c r="B4" s="8" t="s">
        <v>21</v>
      </c>
      <c r="C4">
        <v>1</v>
      </c>
      <c r="D4">
        <v>1</v>
      </c>
      <c r="E4">
        <v>1</v>
      </c>
      <c r="F4" s="12">
        <f t="shared" si="25"/>
        <v>1</v>
      </c>
      <c r="G4" s="9">
        <f t="shared" si="26"/>
        <v>3</v>
      </c>
      <c r="H4" s="9">
        <f t="shared" si="27"/>
        <v>2</v>
      </c>
      <c r="I4" s="9">
        <f t="shared" si="28"/>
        <v>2</v>
      </c>
      <c r="J4" s="9">
        <f t="shared" si="29"/>
        <v>2</v>
      </c>
      <c r="K4">
        <v>0</v>
      </c>
      <c r="L4">
        <v>0</v>
      </c>
      <c r="M4">
        <v>0</v>
      </c>
      <c r="N4" s="12">
        <f t="shared" si="30"/>
        <v>0</v>
      </c>
      <c r="O4" s="9">
        <f t="shared" si="31"/>
        <v>0</v>
      </c>
      <c r="P4" s="9">
        <f t="shared" si="32"/>
        <v>0</v>
      </c>
      <c r="Q4" s="9">
        <f t="shared" si="33"/>
        <v>0</v>
      </c>
      <c r="R4" s="9">
        <f t="shared" si="34"/>
        <v>0</v>
      </c>
      <c r="S4">
        <v>0</v>
      </c>
      <c r="T4">
        <v>0</v>
      </c>
      <c r="U4">
        <v>0</v>
      </c>
      <c r="V4" s="12">
        <f t="shared" si="35"/>
        <v>0</v>
      </c>
      <c r="W4" s="9">
        <f t="shared" si="36"/>
        <v>0</v>
      </c>
      <c r="X4" s="9">
        <f t="shared" si="37"/>
        <v>0</v>
      </c>
      <c r="Y4" s="9">
        <f t="shared" si="38"/>
        <v>0</v>
      </c>
      <c r="Z4" s="9">
        <f t="shared" si="39"/>
        <v>0</v>
      </c>
      <c r="AA4">
        <v>0</v>
      </c>
      <c r="AB4">
        <v>0</v>
      </c>
      <c r="AC4">
        <v>0</v>
      </c>
      <c r="AD4" s="12">
        <f t="shared" si="40"/>
        <v>0</v>
      </c>
      <c r="AE4" s="9">
        <f t="shared" si="41"/>
        <v>0</v>
      </c>
      <c r="AF4" s="9">
        <f t="shared" si="42"/>
        <v>0</v>
      </c>
      <c r="AG4" s="9">
        <f t="shared" si="43"/>
        <v>0</v>
      </c>
      <c r="AH4" s="9">
        <f t="shared" si="44"/>
        <v>0</v>
      </c>
      <c r="AI4" s="15">
        <f t="shared" si="45"/>
        <v>1</v>
      </c>
      <c r="AJ4" s="15">
        <f t="shared" si="46"/>
        <v>1</v>
      </c>
      <c r="AK4" s="15">
        <f t="shared" si="47"/>
        <v>1</v>
      </c>
      <c r="AL4" s="12">
        <f t="shared" si="48"/>
        <v>1</v>
      </c>
      <c r="AM4" s="12">
        <f t="shared" si="49"/>
        <v>1</v>
      </c>
      <c r="AN4" s="9">
        <f t="shared" si="50"/>
        <v>3</v>
      </c>
      <c r="AO4" s="9">
        <f t="shared" si="51"/>
        <v>2</v>
      </c>
      <c r="AP4" s="9">
        <f t="shared" si="52"/>
        <v>2</v>
      </c>
      <c r="AQ4" s="9">
        <f t="shared" si="53"/>
        <v>2</v>
      </c>
    </row>
    <row r="5">
      <c r="A5">
        <v>72</v>
      </c>
      <c r="B5" s="8" t="s">
        <v>24</v>
      </c>
      <c r="C5">
        <v>1</v>
      </c>
      <c r="D5">
        <v>1</v>
      </c>
      <c r="E5">
        <v>1</v>
      </c>
      <c r="F5" s="12">
        <f t="shared" si="25"/>
        <v>1</v>
      </c>
      <c r="G5" s="9">
        <f t="shared" si="26"/>
        <v>3</v>
      </c>
      <c r="H5" s="9">
        <f t="shared" si="27"/>
        <v>2</v>
      </c>
      <c r="I5" s="9">
        <f t="shared" si="28"/>
        <v>2</v>
      </c>
      <c r="J5" s="9">
        <f t="shared" si="29"/>
        <v>2</v>
      </c>
      <c r="K5">
        <v>0</v>
      </c>
      <c r="L5">
        <v>0</v>
      </c>
      <c r="M5">
        <v>0</v>
      </c>
      <c r="N5" s="12">
        <f t="shared" si="30"/>
        <v>0</v>
      </c>
      <c r="O5" s="9">
        <f t="shared" si="31"/>
        <v>0</v>
      </c>
      <c r="P5" s="9">
        <f t="shared" si="32"/>
        <v>0</v>
      </c>
      <c r="Q5" s="9">
        <f t="shared" si="33"/>
        <v>0</v>
      </c>
      <c r="R5" s="9">
        <f t="shared" si="34"/>
        <v>0</v>
      </c>
      <c r="S5">
        <v>0</v>
      </c>
      <c r="T5">
        <v>0</v>
      </c>
      <c r="U5">
        <v>0</v>
      </c>
      <c r="V5" s="12">
        <f t="shared" si="35"/>
        <v>0</v>
      </c>
      <c r="W5" s="9">
        <f t="shared" si="36"/>
        <v>0</v>
      </c>
      <c r="X5" s="9">
        <f t="shared" si="37"/>
        <v>0</v>
      </c>
      <c r="Y5" s="9">
        <f t="shared" si="38"/>
        <v>0</v>
      </c>
      <c r="Z5" s="9">
        <f t="shared" si="39"/>
        <v>0</v>
      </c>
      <c r="AA5">
        <v>0</v>
      </c>
      <c r="AB5">
        <v>0</v>
      </c>
      <c r="AC5">
        <v>0</v>
      </c>
      <c r="AD5" s="12">
        <f t="shared" si="40"/>
        <v>0</v>
      </c>
      <c r="AE5" s="9">
        <f t="shared" si="41"/>
        <v>0</v>
      </c>
      <c r="AF5" s="9">
        <f t="shared" si="42"/>
        <v>0</v>
      </c>
      <c r="AG5" s="9">
        <f t="shared" si="43"/>
        <v>0</v>
      </c>
      <c r="AH5" s="9">
        <f t="shared" si="44"/>
        <v>0</v>
      </c>
      <c r="AI5" s="15">
        <f t="shared" si="45"/>
        <v>1</v>
      </c>
      <c r="AJ5" s="15">
        <f t="shared" si="46"/>
        <v>1</v>
      </c>
      <c r="AK5" s="15">
        <f t="shared" si="47"/>
        <v>1</v>
      </c>
      <c r="AL5" s="12">
        <f t="shared" si="48"/>
        <v>1</v>
      </c>
      <c r="AM5" s="12">
        <f t="shared" si="49"/>
        <v>1</v>
      </c>
      <c r="AN5" s="9">
        <f t="shared" si="50"/>
        <v>3</v>
      </c>
      <c r="AO5" s="9">
        <f t="shared" si="51"/>
        <v>2</v>
      </c>
      <c r="AP5" s="9">
        <f t="shared" si="52"/>
        <v>2</v>
      </c>
      <c r="AQ5" s="9">
        <f t="shared" si="53"/>
        <v>2</v>
      </c>
    </row>
    <row r="6">
      <c r="A6">
        <v>86</v>
      </c>
      <c r="B6" s="8" t="s">
        <v>27</v>
      </c>
      <c r="C6">
        <v>1</v>
      </c>
      <c r="D6">
        <v>1</v>
      </c>
      <c r="E6">
        <v>1</v>
      </c>
      <c r="F6" s="12">
        <f t="shared" si="25"/>
        <v>1</v>
      </c>
      <c r="G6" s="9">
        <f t="shared" si="26"/>
        <v>3</v>
      </c>
      <c r="H6" s="9">
        <f t="shared" si="27"/>
        <v>2</v>
      </c>
      <c r="I6" s="9">
        <f t="shared" si="28"/>
        <v>2</v>
      </c>
      <c r="J6" s="9">
        <f t="shared" si="29"/>
        <v>2</v>
      </c>
      <c r="K6">
        <v>0</v>
      </c>
      <c r="L6">
        <v>0</v>
      </c>
      <c r="M6">
        <v>0</v>
      </c>
      <c r="N6" s="12">
        <f t="shared" si="30"/>
        <v>0</v>
      </c>
      <c r="O6" s="9">
        <f t="shared" si="31"/>
        <v>0</v>
      </c>
      <c r="P6" s="9">
        <f t="shared" si="32"/>
        <v>0</v>
      </c>
      <c r="Q6" s="9">
        <f t="shared" si="33"/>
        <v>0</v>
      </c>
      <c r="R6" s="9">
        <f t="shared" si="34"/>
        <v>0</v>
      </c>
      <c r="S6">
        <v>0</v>
      </c>
      <c r="T6">
        <v>0</v>
      </c>
      <c r="U6">
        <v>0</v>
      </c>
      <c r="V6" s="12">
        <f t="shared" si="35"/>
        <v>0</v>
      </c>
      <c r="W6" s="9">
        <f t="shared" si="36"/>
        <v>0</v>
      </c>
      <c r="X6" s="9">
        <f t="shared" si="37"/>
        <v>0</v>
      </c>
      <c r="Y6" s="9">
        <f t="shared" si="38"/>
        <v>0</v>
      </c>
      <c r="Z6" s="9">
        <f t="shared" si="39"/>
        <v>0</v>
      </c>
      <c r="AA6">
        <v>0</v>
      </c>
      <c r="AB6">
        <v>0</v>
      </c>
      <c r="AC6">
        <v>0</v>
      </c>
      <c r="AD6" s="12">
        <f t="shared" si="40"/>
        <v>0</v>
      </c>
      <c r="AE6" s="9">
        <f t="shared" si="41"/>
        <v>0</v>
      </c>
      <c r="AF6" s="9">
        <f t="shared" si="42"/>
        <v>0</v>
      </c>
      <c r="AG6" s="9">
        <f t="shared" si="43"/>
        <v>0</v>
      </c>
      <c r="AH6" s="9">
        <f t="shared" si="44"/>
        <v>0</v>
      </c>
      <c r="AI6" s="15">
        <f t="shared" si="45"/>
        <v>1</v>
      </c>
      <c r="AJ6" s="15">
        <f t="shared" si="46"/>
        <v>1</v>
      </c>
      <c r="AK6" s="15">
        <f t="shared" si="47"/>
        <v>1</v>
      </c>
      <c r="AL6" s="12">
        <f t="shared" si="48"/>
        <v>1</v>
      </c>
      <c r="AM6" s="12">
        <f t="shared" si="49"/>
        <v>1</v>
      </c>
      <c r="AN6" s="9">
        <f t="shared" si="50"/>
        <v>3</v>
      </c>
      <c r="AO6" s="9">
        <f t="shared" si="51"/>
        <v>2</v>
      </c>
      <c r="AP6" s="9">
        <f t="shared" si="52"/>
        <v>2</v>
      </c>
      <c r="AQ6" s="9">
        <f t="shared" si="53"/>
        <v>2</v>
      </c>
    </row>
    <row r="7">
      <c r="A7">
        <v>99</v>
      </c>
      <c r="B7" s="8" t="s">
        <v>31</v>
      </c>
      <c r="C7">
        <v>0</v>
      </c>
      <c r="D7">
        <v>0</v>
      </c>
      <c r="E7">
        <v>0</v>
      </c>
      <c r="F7" s="12">
        <f t="shared" si="25"/>
        <v>0</v>
      </c>
      <c r="G7" s="9">
        <f t="shared" si="26"/>
        <v>0</v>
      </c>
      <c r="H7" s="9">
        <f t="shared" si="27"/>
        <v>0</v>
      </c>
      <c r="I7" s="9">
        <f t="shared" si="28"/>
        <v>0</v>
      </c>
      <c r="J7" s="9">
        <f t="shared" si="29"/>
        <v>0</v>
      </c>
      <c r="K7">
        <v>0</v>
      </c>
      <c r="L7">
        <v>0</v>
      </c>
      <c r="M7">
        <v>0</v>
      </c>
      <c r="N7" s="12">
        <f t="shared" si="30"/>
        <v>0</v>
      </c>
      <c r="O7" s="9">
        <f t="shared" si="31"/>
        <v>0</v>
      </c>
      <c r="P7" s="9">
        <f t="shared" si="32"/>
        <v>0</v>
      </c>
      <c r="Q7" s="9">
        <f t="shared" si="33"/>
        <v>0</v>
      </c>
      <c r="R7" s="9">
        <f t="shared" si="34"/>
        <v>0</v>
      </c>
      <c r="S7">
        <v>0</v>
      </c>
      <c r="T7">
        <v>0</v>
      </c>
      <c r="U7">
        <v>0</v>
      </c>
      <c r="V7" s="12">
        <f t="shared" si="35"/>
        <v>0</v>
      </c>
      <c r="W7" s="9">
        <f t="shared" si="36"/>
        <v>0</v>
      </c>
      <c r="X7" s="9">
        <f t="shared" si="37"/>
        <v>0</v>
      </c>
      <c r="Y7" s="9">
        <f t="shared" si="38"/>
        <v>0</v>
      </c>
      <c r="Z7" s="9">
        <f t="shared" si="39"/>
        <v>0</v>
      </c>
      <c r="AA7">
        <v>1</v>
      </c>
      <c r="AB7">
        <v>1</v>
      </c>
      <c r="AC7">
        <v>1</v>
      </c>
      <c r="AD7" s="12">
        <f t="shared" si="40"/>
        <v>1</v>
      </c>
      <c r="AE7" s="9">
        <f t="shared" si="41"/>
        <v>3</v>
      </c>
      <c r="AF7" s="9">
        <f t="shared" si="42"/>
        <v>2</v>
      </c>
      <c r="AG7" s="9">
        <f t="shared" si="43"/>
        <v>2</v>
      </c>
      <c r="AH7" s="9">
        <f t="shared" si="44"/>
        <v>2</v>
      </c>
      <c r="AI7" s="15">
        <f t="shared" si="45"/>
        <v>1</v>
      </c>
      <c r="AJ7" s="15">
        <f t="shared" si="46"/>
        <v>1</v>
      </c>
      <c r="AK7" s="15">
        <f t="shared" si="47"/>
        <v>1</v>
      </c>
      <c r="AL7" s="12">
        <f t="shared" si="48"/>
        <v>1</v>
      </c>
      <c r="AM7" s="12">
        <f t="shared" si="49"/>
        <v>1</v>
      </c>
      <c r="AN7" s="9">
        <f t="shared" si="50"/>
        <v>3</v>
      </c>
      <c r="AO7" s="9">
        <f t="shared" si="51"/>
        <v>2</v>
      </c>
      <c r="AP7" s="9">
        <f t="shared" si="52"/>
        <v>2</v>
      </c>
      <c r="AQ7" s="9">
        <f t="shared" si="53"/>
        <v>2</v>
      </c>
    </row>
    <row r="8">
      <c r="A8">
        <v>107</v>
      </c>
      <c r="B8" s="8" t="s">
        <v>33</v>
      </c>
      <c r="C8">
        <v>0</v>
      </c>
      <c r="D8">
        <v>0</v>
      </c>
      <c r="E8">
        <v>0</v>
      </c>
      <c r="F8" s="12">
        <f t="shared" si="25"/>
        <v>0</v>
      </c>
      <c r="G8" s="9">
        <f t="shared" si="26"/>
        <v>0</v>
      </c>
      <c r="H8" s="9">
        <f t="shared" si="27"/>
        <v>0</v>
      </c>
      <c r="I8" s="9">
        <f t="shared" si="28"/>
        <v>0</v>
      </c>
      <c r="J8" s="9">
        <f t="shared" si="29"/>
        <v>0</v>
      </c>
      <c r="K8">
        <v>0</v>
      </c>
      <c r="L8">
        <v>0</v>
      </c>
      <c r="M8">
        <v>0</v>
      </c>
      <c r="N8" s="12">
        <f t="shared" si="30"/>
        <v>0</v>
      </c>
      <c r="O8" s="9">
        <f t="shared" si="31"/>
        <v>0</v>
      </c>
      <c r="P8" s="9">
        <f t="shared" si="32"/>
        <v>0</v>
      </c>
      <c r="Q8" s="9">
        <f t="shared" si="33"/>
        <v>0</v>
      </c>
      <c r="R8" s="9">
        <f t="shared" si="34"/>
        <v>0</v>
      </c>
      <c r="S8">
        <v>0</v>
      </c>
      <c r="T8">
        <v>0</v>
      </c>
      <c r="U8">
        <v>0</v>
      </c>
      <c r="V8" s="12">
        <f t="shared" si="35"/>
        <v>0</v>
      </c>
      <c r="W8" s="9">
        <f t="shared" si="36"/>
        <v>0</v>
      </c>
      <c r="X8" s="9">
        <f t="shared" si="37"/>
        <v>0</v>
      </c>
      <c r="Y8" s="9">
        <f t="shared" si="38"/>
        <v>0</v>
      </c>
      <c r="Z8" s="9">
        <f t="shared" si="39"/>
        <v>0</v>
      </c>
      <c r="AA8">
        <v>0</v>
      </c>
      <c r="AB8">
        <v>0</v>
      </c>
      <c r="AC8">
        <v>0</v>
      </c>
      <c r="AD8" s="12">
        <f t="shared" si="40"/>
        <v>0</v>
      </c>
      <c r="AE8" s="9">
        <f t="shared" si="41"/>
        <v>0</v>
      </c>
      <c r="AF8" s="9">
        <f t="shared" si="42"/>
        <v>0</v>
      </c>
      <c r="AG8" s="9">
        <f t="shared" si="43"/>
        <v>0</v>
      </c>
      <c r="AH8" s="9">
        <f t="shared" si="44"/>
        <v>0</v>
      </c>
      <c r="AI8" s="15">
        <f t="shared" si="45"/>
        <v>0</v>
      </c>
      <c r="AJ8" s="15">
        <f t="shared" si="46"/>
        <v>0</v>
      </c>
      <c r="AK8" s="15">
        <f t="shared" si="47"/>
        <v>0</v>
      </c>
      <c r="AL8" s="12">
        <f t="shared" si="48"/>
        <v>0</v>
      </c>
      <c r="AM8" s="12">
        <f t="shared" si="49"/>
        <v>0</v>
      </c>
      <c r="AN8" s="9">
        <f t="shared" si="50"/>
        <v>0</v>
      </c>
      <c r="AO8" s="9">
        <f t="shared" si="51"/>
        <v>0</v>
      </c>
      <c r="AP8" s="9">
        <f t="shared" si="52"/>
        <v>0</v>
      </c>
      <c r="AQ8" s="9">
        <f t="shared" si="53"/>
        <v>0</v>
      </c>
    </row>
    <row r="9">
      <c r="A9">
        <v>110</v>
      </c>
      <c r="B9" s="8" t="s">
        <v>35</v>
      </c>
      <c r="C9">
        <v>0</v>
      </c>
      <c r="D9">
        <v>0</v>
      </c>
      <c r="E9">
        <v>0</v>
      </c>
      <c r="F9" s="12">
        <f t="shared" si="25"/>
        <v>0</v>
      </c>
      <c r="G9" s="9">
        <f t="shared" si="26"/>
        <v>0</v>
      </c>
      <c r="H9" s="9">
        <f t="shared" si="27"/>
        <v>0</v>
      </c>
      <c r="I9" s="9">
        <f t="shared" si="28"/>
        <v>0</v>
      </c>
      <c r="J9" s="9">
        <f t="shared" si="29"/>
        <v>0</v>
      </c>
      <c r="K9">
        <v>1</v>
      </c>
      <c r="L9">
        <v>1</v>
      </c>
      <c r="M9">
        <v>0</v>
      </c>
      <c r="N9" s="12">
        <f t="shared" si="30"/>
        <v>1</v>
      </c>
      <c r="O9" s="9">
        <f t="shared" si="31"/>
        <v>2</v>
      </c>
      <c r="P9" s="9">
        <f t="shared" si="32"/>
        <v>2</v>
      </c>
      <c r="Q9" s="9">
        <f t="shared" si="33"/>
        <v>1</v>
      </c>
      <c r="R9" s="9">
        <f t="shared" si="34"/>
        <v>1</v>
      </c>
      <c r="S9">
        <v>0</v>
      </c>
      <c r="T9">
        <v>0</v>
      </c>
      <c r="U9">
        <v>0</v>
      </c>
      <c r="V9" s="12">
        <f t="shared" si="35"/>
        <v>0</v>
      </c>
      <c r="W9" s="9">
        <f t="shared" si="36"/>
        <v>0</v>
      </c>
      <c r="X9" s="9">
        <f t="shared" si="37"/>
        <v>0</v>
      </c>
      <c r="Y9" s="9">
        <f t="shared" si="38"/>
        <v>0</v>
      </c>
      <c r="Z9" s="9">
        <f t="shared" si="39"/>
        <v>0</v>
      </c>
      <c r="AA9">
        <v>0</v>
      </c>
      <c r="AB9">
        <v>0</v>
      </c>
      <c r="AC9">
        <v>0</v>
      </c>
      <c r="AD9" s="12">
        <f t="shared" si="40"/>
        <v>0</v>
      </c>
      <c r="AE9" s="9">
        <f t="shared" si="41"/>
        <v>0</v>
      </c>
      <c r="AF9" s="9">
        <f t="shared" si="42"/>
        <v>0</v>
      </c>
      <c r="AG9" s="9">
        <f t="shared" si="43"/>
        <v>0</v>
      </c>
      <c r="AH9" s="9">
        <f t="shared" si="44"/>
        <v>0</v>
      </c>
      <c r="AI9" s="15">
        <f t="shared" si="45"/>
        <v>1</v>
      </c>
      <c r="AJ9" s="15">
        <f t="shared" si="46"/>
        <v>1</v>
      </c>
      <c r="AK9" s="15">
        <f t="shared" si="47"/>
        <v>0</v>
      </c>
      <c r="AL9" s="12">
        <f t="shared" si="48"/>
        <v>1</v>
      </c>
      <c r="AM9" s="12">
        <f t="shared" si="49"/>
        <v>1</v>
      </c>
      <c r="AN9" s="9">
        <f t="shared" si="50"/>
        <v>2</v>
      </c>
      <c r="AO9" s="9">
        <f t="shared" si="51"/>
        <v>2</v>
      </c>
      <c r="AP9" s="9">
        <f t="shared" si="52"/>
        <v>1</v>
      </c>
      <c r="AQ9" s="9">
        <f t="shared" si="53"/>
        <v>1</v>
      </c>
    </row>
    <row r="10">
      <c r="A10">
        <v>111</v>
      </c>
      <c r="B10" s="8" t="s">
        <v>36</v>
      </c>
      <c r="C10">
        <v>0</v>
      </c>
      <c r="D10">
        <v>0</v>
      </c>
      <c r="E10">
        <v>0</v>
      </c>
      <c r="F10" s="12">
        <f t="shared" si="25"/>
        <v>0</v>
      </c>
      <c r="G10" s="9">
        <f t="shared" si="26"/>
        <v>0</v>
      </c>
      <c r="H10" s="9">
        <f t="shared" si="27"/>
        <v>0</v>
      </c>
      <c r="I10" s="9">
        <f t="shared" si="28"/>
        <v>0</v>
      </c>
      <c r="J10" s="9">
        <f t="shared" si="29"/>
        <v>0</v>
      </c>
      <c r="K10">
        <v>0</v>
      </c>
      <c r="L10">
        <v>0</v>
      </c>
      <c r="M10">
        <v>0</v>
      </c>
      <c r="N10" s="12">
        <f t="shared" si="30"/>
        <v>0</v>
      </c>
      <c r="O10" s="9">
        <f t="shared" si="31"/>
        <v>0</v>
      </c>
      <c r="P10" s="9">
        <f t="shared" si="32"/>
        <v>0</v>
      </c>
      <c r="Q10" s="9">
        <f t="shared" si="33"/>
        <v>0</v>
      </c>
      <c r="R10" s="9">
        <f t="shared" si="34"/>
        <v>0</v>
      </c>
      <c r="S10">
        <v>0</v>
      </c>
      <c r="T10">
        <v>0</v>
      </c>
      <c r="U10">
        <v>0</v>
      </c>
      <c r="V10" s="12">
        <f t="shared" si="35"/>
        <v>0</v>
      </c>
      <c r="W10" s="9">
        <f t="shared" si="36"/>
        <v>0</v>
      </c>
      <c r="X10" s="9">
        <f t="shared" si="37"/>
        <v>0</v>
      </c>
      <c r="Y10" s="9">
        <f t="shared" si="38"/>
        <v>0</v>
      </c>
      <c r="Z10" s="9">
        <f t="shared" si="39"/>
        <v>0</v>
      </c>
      <c r="AA10">
        <v>0</v>
      </c>
      <c r="AB10">
        <v>0</v>
      </c>
      <c r="AC10">
        <v>0</v>
      </c>
      <c r="AD10" s="12">
        <f t="shared" si="40"/>
        <v>0</v>
      </c>
      <c r="AE10" s="9">
        <f t="shared" si="41"/>
        <v>0</v>
      </c>
      <c r="AF10" s="9">
        <f t="shared" si="42"/>
        <v>0</v>
      </c>
      <c r="AG10" s="9">
        <f t="shared" si="43"/>
        <v>0</v>
      </c>
      <c r="AH10" s="9">
        <f t="shared" si="44"/>
        <v>0</v>
      </c>
      <c r="AI10" s="15">
        <f t="shared" si="45"/>
        <v>0</v>
      </c>
      <c r="AJ10" s="15">
        <f t="shared" si="46"/>
        <v>0</v>
      </c>
      <c r="AK10" s="15">
        <f t="shared" si="47"/>
        <v>0</v>
      </c>
      <c r="AL10" s="12">
        <f t="shared" si="48"/>
        <v>0</v>
      </c>
      <c r="AM10" s="12">
        <f t="shared" si="49"/>
        <v>0</v>
      </c>
      <c r="AN10" s="9">
        <f t="shared" si="50"/>
        <v>0</v>
      </c>
      <c r="AO10" s="9">
        <f t="shared" si="51"/>
        <v>0</v>
      </c>
      <c r="AP10" s="9">
        <f t="shared" si="52"/>
        <v>0</v>
      </c>
      <c r="AQ10" s="9">
        <f t="shared" si="53"/>
        <v>0</v>
      </c>
    </row>
    <row r="11">
      <c r="A11">
        <v>121</v>
      </c>
      <c r="B11" s="8" t="s">
        <v>38</v>
      </c>
      <c r="C11">
        <v>0</v>
      </c>
      <c r="D11">
        <v>0</v>
      </c>
      <c r="E11">
        <v>0</v>
      </c>
      <c r="F11" s="12">
        <f t="shared" si="25"/>
        <v>0</v>
      </c>
      <c r="G11" s="9">
        <f t="shared" si="26"/>
        <v>0</v>
      </c>
      <c r="H11" s="9">
        <f t="shared" si="27"/>
        <v>0</v>
      </c>
      <c r="I11" s="9">
        <f t="shared" si="28"/>
        <v>0</v>
      </c>
      <c r="J11" s="9">
        <f t="shared" si="29"/>
        <v>0</v>
      </c>
      <c r="K11">
        <v>0</v>
      </c>
      <c r="L11">
        <v>0</v>
      </c>
      <c r="M11">
        <v>0</v>
      </c>
      <c r="N11" s="12">
        <f t="shared" si="30"/>
        <v>0</v>
      </c>
      <c r="O11" s="9">
        <f t="shared" si="31"/>
        <v>0</v>
      </c>
      <c r="P11" s="9">
        <f t="shared" si="32"/>
        <v>0</v>
      </c>
      <c r="Q11" s="9">
        <f t="shared" si="33"/>
        <v>0</v>
      </c>
      <c r="R11" s="9">
        <f t="shared" si="34"/>
        <v>0</v>
      </c>
      <c r="S11">
        <v>0</v>
      </c>
      <c r="T11">
        <v>1</v>
      </c>
      <c r="U11">
        <v>0</v>
      </c>
      <c r="V11" s="12">
        <f t="shared" si="35"/>
        <v>0</v>
      </c>
      <c r="W11" s="9">
        <f t="shared" si="36"/>
        <v>1</v>
      </c>
      <c r="X11" s="9">
        <f t="shared" si="37"/>
        <v>1</v>
      </c>
      <c r="Y11" s="9">
        <f t="shared" si="38"/>
        <v>0</v>
      </c>
      <c r="Z11" s="9">
        <f t="shared" si="39"/>
        <v>1</v>
      </c>
      <c r="AA11">
        <v>0</v>
      </c>
      <c r="AB11">
        <v>0</v>
      </c>
      <c r="AC11">
        <v>0</v>
      </c>
      <c r="AD11" s="12">
        <f t="shared" si="40"/>
        <v>0</v>
      </c>
      <c r="AE11" s="9">
        <f t="shared" si="41"/>
        <v>0</v>
      </c>
      <c r="AF11" s="9">
        <f t="shared" si="42"/>
        <v>0</v>
      </c>
      <c r="AG11" s="9">
        <f t="shared" si="43"/>
        <v>0</v>
      </c>
      <c r="AH11" s="9">
        <f t="shared" si="44"/>
        <v>0</v>
      </c>
      <c r="AI11" s="15">
        <f t="shared" si="45"/>
        <v>0</v>
      </c>
      <c r="AJ11" s="15">
        <f t="shared" si="46"/>
        <v>1</v>
      </c>
      <c r="AK11" s="15">
        <f t="shared" si="47"/>
        <v>0</v>
      </c>
      <c r="AL11" s="12">
        <f t="shared" si="48"/>
        <v>0</v>
      </c>
      <c r="AM11" s="12">
        <f t="shared" si="49"/>
        <v>0</v>
      </c>
      <c r="AN11" s="9">
        <f t="shared" si="50"/>
        <v>1</v>
      </c>
      <c r="AO11" s="9">
        <f t="shared" si="51"/>
        <v>1</v>
      </c>
      <c r="AP11" s="9">
        <f t="shared" si="52"/>
        <v>0</v>
      </c>
      <c r="AQ11" s="9">
        <f t="shared" si="53"/>
        <v>1</v>
      </c>
    </row>
    <row r="12">
      <c r="A12">
        <v>127</v>
      </c>
      <c r="B12" s="8" t="s">
        <v>39</v>
      </c>
      <c r="C12">
        <v>0</v>
      </c>
      <c r="D12">
        <v>0</v>
      </c>
      <c r="E12">
        <v>0</v>
      </c>
      <c r="F12" s="12">
        <f t="shared" si="25"/>
        <v>0</v>
      </c>
      <c r="G12" s="9">
        <f t="shared" si="26"/>
        <v>0</v>
      </c>
      <c r="H12" s="9">
        <f t="shared" si="27"/>
        <v>0</v>
      </c>
      <c r="I12" s="9">
        <f t="shared" si="28"/>
        <v>0</v>
      </c>
      <c r="J12" s="9">
        <f t="shared" si="29"/>
        <v>0</v>
      </c>
      <c r="K12">
        <v>0</v>
      </c>
      <c r="L12">
        <v>0</v>
      </c>
      <c r="M12">
        <v>0</v>
      </c>
      <c r="N12" s="12">
        <f t="shared" si="30"/>
        <v>0</v>
      </c>
      <c r="O12" s="9">
        <f t="shared" si="31"/>
        <v>0</v>
      </c>
      <c r="P12" s="9">
        <f t="shared" si="32"/>
        <v>0</v>
      </c>
      <c r="Q12" s="9">
        <f t="shared" si="33"/>
        <v>0</v>
      </c>
      <c r="R12" s="9">
        <f t="shared" si="34"/>
        <v>0</v>
      </c>
      <c r="S12">
        <v>0</v>
      </c>
      <c r="T12">
        <v>0</v>
      </c>
      <c r="U12">
        <v>0</v>
      </c>
      <c r="V12" s="12">
        <f t="shared" si="35"/>
        <v>0</v>
      </c>
      <c r="W12" s="9">
        <f t="shared" si="36"/>
        <v>0</v>
      </c>
      <c r="X12" s="9">
        <f t="shared" si="37"/>
        <v>0</v>
      </c>
      <c r="Y12" s="9">
        <f t="shared" si="38"/>
        <v>0</v>
      </c>
      <c r="Z12" s="9">
        <f t="shared" si="39"/>
        <v>0</v>
      </c>
      <c r="AA12">
        <v>0</v>
      </c>
      <c r="AB12">
        <v>0</v>
      </c>
      <c r="AC12">
        <v>0</v>
      </c>
      <c r="AD12" s="12">
        <f t="shared" si="40"/>
        <v>0</v>
      </c>
      <c r="AE12" s="9">
        <f t="shared" si="41"/>
        <v>0</v>
      </c>
      <c r="AF12" s="9">
        <f t="shared" si="42"/>
        <v>0</v>
      </c>
      <c r="AG12" s="9">
        <f t="shared" si="43"/>
        <v>0</v>
      </c>
      <c r="AH12" s="9">
        <f t="shared" si="44"/>
        <v>0</v>
      </c>
      <c r="AI12" s="15">
        <f t="shared" si="45"/>
        <v>0</v>
      </c>
      <c r="AJ12" s="15">
        <f t="shared" si="46"/>
        <v>0</v>
      </c>
      <c r="AK12" s="15">
        <f t="shared" si="47"/>
        <v>0</v>
      </c>
      <c r="AL12" s="12">
        <f t="shared" si="48"/>
        <v>0</v>
      </c>
      <c r="AM12" s="12">
        <f t="shared" si="49"/>
        <v>0</v>
      </c>
      <c r="AN12" s="9">
        <f t="shared" si="50"/>
        <v>0</v>
      </c>
      <c r="AO12" s="9">
        <f t="shared" si="51"/>
        <v>0</v>
      </c>
      <c r="AP12" s="9">
        <f t="shared" si="52"/>
        <v>0</v>
      </c>
      <c r="AQ12" s="9">
        <f t="shared" si="53"/>
        <v>0</v>
      </c>
    </row>
    <row r="13">
      <c r="A13">
        <v>129</v>
      </c>
      <c r="B13" s="8" t="s">
        <v>40</v>
      </c>
      <c r="C13">
        <v>0</v>
      </c>
      <c r="D13">
        <v>0</v>
      </c>
      <c r="E13">
        <v>0</v>
      </c>
      <c r="F13" s="12">
        <f t="shared" si="25"/>
        <v>0</v>
      </c>
      <c r="G13" s="9">
        <f t="shared" si="26"/>
        <v>0</v>
      </c>
      <c r="H13" s="9">
        <f t="shared" si="27"/>
        <v>0</v>
      </c>
      <c r="I13" s="9">
        <f t="shared" si="28"/>
        <v>0</v>
      </c>
      <c r="J13" s="9">
        <f t="shared" si="29"/>
        <v>0</v>
      </c>
      <c r="K13">
        <v>0</v>
      </c>
      <c r="L13">
        <v>0</v>
      </c>
      <c r="M13">
        <v>0</v>
      </c>
      <c r="N13" s="12">
        <f t="shared" si="30"/>
        <v>0</v>
      </c>
      <c r="O13" s="9">
        <f t="shared" si="31"/>
        <v>0</v>
      </c>
      <c r="P13" s="9">
        <f t="shared" si="32"/>
        <v>0</v>
      </c>
      <c r="Q13" s="9">
        <f t="shared" si="33"/>
        <v>0</v>
      </c>
      <c r="R13" s="9">
        <f t="shared" si="34"/>
        <v>0</v>
      </c>
      <c r="S13">
        <v>0</v>
      </c>
      <c r="T13">
        <v>0</v>
      </c>
      <c r="U13">
        <v>0</v>
      </c>
      <c r="V13" s="12">
        <f t="shared" si="35"/>
        <v>0</v>
      </c>
      <c r="W13" s="9">
        <f t="shared" si="36"/>
        <v>0</v>
      </c>
      <c r="X13" s="9">
        <f t="shared" si="37"/>
        <v>0</v>
      </c>
      <c r="Y13" s="9">
        <f t="shared" si="38"/>
        <v>0</v>
      </c>
      <c r="Z13" s="9">
        <f t="shared" si="39"/>
        <v>0</v>
      </c>
      <c r="AA13">
        <v>0</v>
      </c>
      <c r="AB13">
        <v>0</v>
      </c>
      <c r="AC13">
        <v>0</v>
      </c>
      <c r="AD13" s="12">
        <f t="shared" si="40"/>
        <v>0</v>
      </c>
      <c r="AE13" s="9">
        <f t="shared" si="41"/>
        <v>0</v>
      </c>
      <c r="AF13" s="9">
        <f t="shared" si="42"/>
        <v>0</v>
      </c>
      <c r="AG13" s="9">
        <f t="shared" si="43"/>
        <v>0</v>
      </c>
      <c r="AH13" s="9">
        <f t="shared" si="44"/>
        <v>0</v>
      </c>
      <c r="AI13" s="15">
        <f t="shared" si="45"/>
        <v>0</v>
      </c>
      <c r="AJ13" s="15">
        <f t="shared" si="46"/>
        <v>0</v>
      </c>
      <c r="AK13" s="15">
        <f t="shared" si="47"/>
        <v>0</v>
      </c>
      <c r="AL13" s="12">
        <f t="shared" si="48"/>
        <v>0</v>
      </c>
      <c r="AM13" s="12">
        <f t="shared" si="49"/>
        <v>0</v>
      </c>
      <c r="AN13" s="9">
        <f t="shared" si="50"/>
        <v>0</v>
      </c>
      <c r="AO13" s="9">
        <f t="shared" si="51"/>
        <v>0</v>
      </c>
      <c r="AP13" s="9">
        <f t="shared" si="52"/>
        <v>0</v>
      </c>
      <c r="AQ13" s="9">
        <f t="shared" si="53"/>
        <v>0</v>
      </c>
    </row>
    <row r="14">
      <c r="A14">
        <v>133</v>
      </c>
      <c r="B14" s="8" t="s">
        <v>41</v>
      </c>
      <c r="C14">
        <v>0</v>
      </c>
      <c r="D14">
        <v>1</v>
      </c>
      <c r="E14">
        <v>0</v>
      </c>
      <c r="F14" s="12">
        <f t="shared" si="25"/>
        <v>0</v>
      </c>
      <c r="G14" s="9">
        <f t="shared" si="26"/>
        <v>1</v>
      </c>
      <c r="H14" s="9">
        <f t="shared" si="27"/>
        <v>1</v>
      </c>
      <c r="I14" s="9">
        <f t="shared" si="28"/>
        <v>0</v>
      </c>
      <c r="J14" s="9">
        <f t="shared" si="29"/>
        <v>1</v>
      </c>
      <c r="K14">
        <v>0</v>
      </c>
      <c r="L14">
        <v>0</v>
      </c>
      <c r="M14">
        <v>0</v>
      </c>
      <c r="N14" s="12">
        <f t="shared" si="30"/>
        <v>0</v>
      </c>
      <c r="O14" s="9">
        <f t="shared" si="31"/>
        <v>0</v>
      </c>
      <c r="P14" s="9">
        <f t="shared" si="32"/>
        <v>0</v>
      </c>
      <c r="Q14" s="9">
        <f t="shared" si="33"/>
        <v>0</v>
      </c>
      <c r="R14" s="9">
        <f t="shared" si="34"/>
        <v>0</v>
      </c>
      <c r="S14">
        <v>1</v>
      </c>
      <c r="T14">
        <v>0</v>
      </c>
      <c r="U14">
        <v>1</v>
      </c>
      <c r="V14" s="12">
        <f t="shared" si="35"/>
        <v>1</v>
      </c>
      <c r="W14" s="9">
        <f t="shared" si="36"/>
        <v>2</v>
      </c>
      <c r="X14" s="9">
        <f t="shared" si="37"/>
        <v>1</v>
      </c>
      <c r="Y14" s="9">
        <f t="shared" si="38"/>
        <v>2</v>
      </c>
      <c r="Z14" s="9">
        <f t="shared" si="39"/>
        <v>1</v>
      </c>
      <c r="AA14">
        <v>0</v>
      </c>
      <c r="AB14">
        <v>0</v>
      </c>
      <c r="AC14">
        <v>0</v>
      </c>
      <c r="AD14" s="12">
        <f t="shared" si="40"/>
        <v>0</v>
      </c>
      <c r="AE14" s="9">
        <f t="shared" si="41"/>
        <v>0</v>
      </c>
      <c r="AF14" s="9">
        <f t="shared" si="42"/>
        <v>0</v>
      </c>
      <c r="AG14" s="9">
        <f t="shared" si="43"/>
        <v>0</v>
      </c>
      <c r="AH14" s="9">
        <f t="shared" si="44"/>
        <v>0</v>
      </c>
      <c r="AI14" s="15">
        <f t="shared" si="45"/>
        <v>1</v>
      </c>
      <c r="AJ14" s="15">
        <f t="shared" si="46"/>
        <v>1</v>
      </c>
      <c r="AK14" s="15">
        <f t="shared" si="47"/>
        <v>1</v>
      </c>
      <c r="AL14" s="12">
        <f t="shared" si="48"/>
        <v>1</v>
      </c>
      <c r="AM14" s="12">
        <f t="shared" si="49"/>
        <v>1</v>
      </c>
      <c r="AN14" s="9">
        <f t="shared" si="50"/>
        <v>3</v>
      </c>
      <c r="AO14" s="9">
        <f t="shared" si="51"/>
        <v>2</v>
      </c>
      <c r="AP14" s="9">
        <f t="shared" si="52"/>
        <v>2</v>
      </c>
      <c r="AQ14" s="9">
        <f t="shared" si="53"/>
        <v>2</v>
      </c>
    </row>
    <row r="15" ht="29.100000000000001">
      <c r="A15">
        <v>135</v>
      </c>
      <c r="B15" s="8" t="s">
        <v>45</v>
      </c>
      <c r="C15">
        <v>0</v>
      </c>
      <c r="D15">
        <v>0</v>
      </c>
      <c r="E15">
        <v>0</v>
      </c>
      <c r="F15" s="12">
        <f t="shared" si="25"/>
        <v>0</v>
      </c>
      <c r="G15" s="9">
        <f t="shared" si="26"/>
        <v>0</v>
      </c>
      <c r="H15" s="9">
        <f t="shared" si="27"/>
        <v>0</v>
      </c>
      <c r="I15" s="9">
        <f t="shared" si="28"/>
        <v>0</v>
      </c>
      <c r="J15" s="9">
        <f t="shared" si="29"/>
        <v>0</v>
      </c>
      <c r="K15">
        <v>0</v>
      </c>
      <c r="L15">
        <v>0</v>
      </c>
      <c r="M15">
        <v>0</v>
      </c>
      <c r="N15" s="12">
        <f t="shared" si="30"/>
        <v>0</v>
      </c>
      <c r="O15" s="9">
        <f t="shared" si="31"/>
        <v>0</v>
      </c>
      <c r="P15" s="9">
        <f t="shared" si="32"/>
        <v>0</v>
      </c>
      <c r="Q15" s="9">
        <f t="shared" si="33"/>
        <v>0</v>
      </c>
      <c r="R15" s="9">
        <f t="shared" si="34"/>
        <v>0</v>
      </c>
      <c r="S15">
        <v>0</v>
      </c>
      <c r="T15">
        <v>0</v>
      </c>
      <c r="U15">
        <v>0</v>
      </c>
      <c r="V15" s="12">
        <f t="shared" si="35"/>
        <v>0</v>
      </c>
      <c r="W15" s="9">
        <f t="shared" si="36"/>
        <v>0</v>
      </c>
      <c r="X15" s="9">
        <f t="shared" si="37"/>
        <v>0</v>
      </c>
      <c r="Y15" s="9">
        <f t="shared" si="38"/>
        <v>0</v>
      </c>
      <c r="Z15" s="9">
        <f t="shared" si="39"/>
        <v>0</v>
      </c>
      <c r="AA15">
        <v>0</v>
      </c>
      <c r="AB15">
        <v>0</v>
      </c>
      <c r="AC15">
        <v>0</v>
      </c>
      <c r="AD15" s="12">
        <f t="shared" si="40"/>
        <v>0</v>
      </c>
      <c r="AE15" s="9">
        <f t="shared" si="41"/>
        <v>0</v>
      </c>
      <c r="AF15" s="9">
        <f t="shared" si="42"/>
        <v>0</v>
      </c>
      <c r="AG15" s="9">
        <f t="shared" si="43"/>
        <v>0</v>
      </c>
      <c r="AH15" s="9">
        <f t="shared" si="44"/>
        <v>0</v>
      </c>
      <c r="AI15" s="15">
        <f t="shared" si="45"/>
        <v>0</v>
      </c>
      <c r="AJ15" s="15">
        <f t="shared" si="46"/>
        <v>0</v>
      </c>
      <c r="AK15" s="15">
        <f t="shared" si="47"/>
        <v>0</v>
      </c>
      <c r="AL15" s="12">
        <f t="shared" si="48"/>
        <v>0</v>
      </c>
      <c r="AM15" s="12">
        <f t="shared" si="49"/>
        <v>0</v>
      </c>
      <c r="AN15" s="9">
        <f t="shared" si="50"/>
        <v>0</v>
      </c>
      <c r="AO15" s="9">
        <f t="shared" si="51"/>
        <v>0</v>
      </c>
      <c r="AP15" s="9">
        <f t="shared" si="52"/>
        <v>0</v>
      </c>
      <c r="AQ15" s="9">
        <f t="shared" si="53"/>
        <v>0</v>
      </c>
    </row>
    <row r="16" ht="29.100000000000001">
      <c r="A16">
        <v>146</v>
      </c>
      <c r="B16" s="8" t="s">
        <v>47</v>
      </c>
      <c r="C16">
        <v>0</v>
      </c>
      <c r="D16">
        <v>0</v>
      </c>
      <c r="E16">
        <v>0</v>
      </c>
      <c r="F16" s="12">
        <f t="shared" si="25"/>
        <v>0</v>
      </c>
      <c r="G16" s="9">
        <f t="shared" si="26"/>
        <v>0</v>
      </c>
      <c r="H16" s="9">
        <f t="shared" si="27"/>
        <v>0</v>
      </c>
      <c r="I16" s="9">
        <f t="shared" si="28"/>
        <v>0</v>
      </c>
      <c r="J16" s="9">
        <f t="shared" si="29"/>
        <v>0</v>
      </c>
      <c r="K16">
        <v>0</v>
      </c>
      <c r="L16">
        <v>0</v>
      </c>
      <c r="M16">
        <v>0</v>
      </c>
      <c r="N16" s="12">
        <f t="shared" si="30"/>
        <v>0</v>
      </c>
      <c r="O16" s="9">
        <f t="shared" si="31"/>
        <v>0</v>
      </c>
      <c r="P16" s="9">
        <f t="shared" si="32"/>
        <v>0</v>
      </c>
      <c r="Q16" s="9">
        <f t="shared" si="33"/>
        <v>0</v>
      </c>
      <c r="R16" s="9">
        <f t="shared" si="34"/>
        <v>0</v>
      </c>
      <c r="S16">
        <v>0</v>
      </c>
      <c r="T16">
        <v>0</v>
      </c>
      <c r="U16">
        <v>0</v>
      </c>
      <c r="V16" s="12">
        <f t="shared" si="35"/>
        <v>0</v>
      </c>
      <c r="W16" s="9">
        <f t="shared" si="36"/>
        <v>0</v>
      </c>
      <c r="X16" s="9">
        <f t="shared" si="37"/>
        <v>0</v>
      </c>
      <c r="Y16" s="9">
        <f t="shared" si="38"/>
        <v>0</v>
      </c>
      <c r="Z16" s="9">
        <f t="shared" si="39"/>
        <v>0</v>
      </c>
      <c r="AA16">
        <v>0</v>
      </c>
      <c r="AB16">
        <v>0</v>
      </c>
      <c r="AC16">
        <v>0</v>
      </c>
      <c r="AD16" s="12">
        <f t="shared" si="40"/>
        <v>0</v>
      </c>
      <c r="AE16" s="9">
        <f t="shared" si="41"/>
        <v>0</v>
      </c>
      <c r="AF16" s="9">
        <f t="shared" si="42"/>
        <v>0</v>
      </c>
      <c r="AG16" s="9">
        <f t="shared" si="43"/>
        <v>0</v>
      </c>
      <c r="AH16" s="9">
        <f t="shared" si="44"/>
        <v>0</v>
      </c>
      <c r="AI16" s="15">
        <f t="shared" si="45"/>
        <v>0</v>
      </c>
      <c r="AJ16" s="15">
        <f t="shared" si="46"/>
        <v>0</v>
      </c>
      <c r="AK16" s="15">
        <f t="shared" si="47"/>
        <v>0</v>
      </c>
      <c r="AL16" s="12">
        <f t="shared" si="48"/>
        <v>0</v>
      </c>
      <c r="AM16" s="12">
        <f t="shared" si="49"/>
        <v>0</v>
      </c>
      <c r="AN16" s="9">
        <f t="shared" si="50"/>
        <v>0</v>
      </c>
      <c r="AO16" s="9">
        <f t="shared" si="51"/>
        <v>0</v>
      </c>
      <c r="AP16" s="9">
        <f t="shared" si="52"/>
        <v>0</v>
      </c>
      <c r="AQ16" s="9">
        <f t="shared" si="53"/>
        <v>0</v>
      </c>
    </row>
    <row r="17">
      <c r="A17">
        <v>152</v>
      </c>
      <c r="B17" s="8" t="s">
        <v>49</v>
      </c>
      <c r="C17">
        <v>1</v>
      </c>
      <c r="D17">
        <v>1</v>
      </c>
      <c r="E17">
        <v>0</v>
      </c>
      <c r="F17" s="12">
        <f t="shared" si="25"/>
        <v>1</v>
      </c>
      <c r="G17" s="9">
        <f t="shared" si="26"/>
        <v>2</v>
      </c>
      <c r="H17" s="9">
        <f t="shared" si="27"/>
        <v>2</v>
      </c>
      <c r="I17" s="9">
        <f t="shared" si="28"/>
        <v>1</v>
      </c>
      <c r="J17" s="9">
        <f t="shared" si="29"/>
        <v>1</v>
      </c>
      <c r="K17">
        <v>0</v>
      </c>
      <c r="L17">
        <v>0</v>
      </c>
      <c r="M17">
        <v>0</v>
      </c>
      <c r="N17" s="12">
        <f t="shared" si="30"/>
        <v>0</v>
      </c>
      <c r="O17" s="9">
        <f t="shared" si="31"/>
        <v>0</v>
      </c>
      <c r="P17" s="9">
        <f t="shared" si="32"/>
        <v>0</v>
      </c>
      <c r="Q17" s="9">
        <f t="shared" si="33"/>
        <v>0</v>
      </c>
      <c r="R17" s="9">
        <f t="shared" si="34"/>
        <v>0</v>
      </c>
      <c r="S17">
        <v>0</v>
      </c>
      <c r="T17">
        <v>0</v>
      </c>
      <c r="U17">
        <v>0</v>
      </c>
      <c r="V17" s="12">
        <f t="shared" si="35"/>
        <v>0</v>
      </c>
      <c r="W17" s="9">
        <f t="shared" si="36"/>
        <v>0</v>
      </c>
      <c r="X17" s="9">
        <f t="shared" si="37"/>
        <v>0</v>
      </c>
      <c r="Y17" s="9">
        <f t="shared" si="38"/>
        <v>0</v>
      </c>
      <c r="Z17" s="9">
        <f t="shared" si="39"/>
        <v>0</v>
      </c>
      <c r="AA17">
        <v>0</v>
      </c>
      <c r="AB17">
        <v>0</v>
      </c>
      <c r="AC17">
        <v>0</v>
      </c>
      <c r="AD17" s="12">
        <f t="shared" si="40"/>
        <v>0</v>
      </c>
      <c r="AE17" s="9">
        <f t="shared" si="41"/>
        <v>0</v>
      </c>
      <c r="AF17" s="9">
        <f t="shared" si="42"/>
        <v>0</v>
      </c>
      <c r="AG17" s="9">
        <f t="shared" si="43"/>
        <v>0</v>
      </c>
      <c r="AH17" s="9">
        <f t="shared" si="44"/>
        <v>0</v>
      </c>
      <c r="AI17" s="15">
        <f t="shared" si="45"/>
        <v>1</v>
      </c>
      <c r="AJ17" s="15">
        <f t="shared" si="46"/>
        <v>1</v>
      </c>
      <c r="AK17" s="15">
        <f t="shared" si="47"/>
        <v>0</v>
      </c>
      <c r="AL17" s="12">
        <f t="shared" si="48"/>
        <v>1</v>
      </c>
      <c r="AM17" s="12">
        <f t="shared" si="49"/>
        <v>1</v>
      </c>
      <c r="AN17" s="9">
        <f t="shared" si="50"/>
        <v>2</v>
      </c>
      <c r="AO17" s="9">
        <f t="shared" si="51"/>
        <v>2</v>
      </c>
      <c r="AP17" s="9">
        <f t="shared" si="52"/>
        <v>1</v>
      </c>
      <c r="AQ17" s="9">
        <f t="shared" si="53"/>
        <v>1</v>
      </c>
    </row>
    <row r="18">
      <c r="A18">
        <v>165</v>
      </c>
      <c r="B18" s="8" t="s">
        <v>51</v>
      </c>
      <c r="C18">
        <v>0</v>
      </c>
      <c r="D18">
        <v>1</v>
      </c>
      <c r="E18">
        <v>0</v>
      </c>
      <c r="F18" s="12">
        <f t="shared" si="25"/>
        <v>0</v>
      </c>
      <c r="G18" s="9">
        <f t="shared" si="26"/>
        <v>1</v>
      </c>
      <c r="H18" s="9">
        <f t="shared" si="27"/>
        <v>1</v>
      </c>
      <c r="I18" s="9">
        <f t="shared" si="28"/>
        <v>0</v>
      </c>
      <c r="J18" s="9">
        <f t="shared" si="29"/>
        <v>1</v>
      </c>
      <c r="K18">
        <v>0</v>
      </c>
      <c r="L18">
        <v>0</v>
      </c>
      <c r="M18">
        <v>0</v>
      </c>
      <c r="N18" s="12">
        <f t="shared" si="30"/>
        <v>0</v>
      </c>
      <c r="O18" s="9">
        <f t="shared" si="31"/>
        <v>0</v>
      </c>
      <c r="P18" s="9">
        <f t="shared" si="32"/>
        <v>0</v>
      </c>
      <c r="Q18" s="9">
        <f t="shared" si="33"/>
        <v>0</v>
      </c>
      <c r="R18" s="9">
        <f t="shared" si="34"/>
        <v>0</v>
      </c>
      <c r="S18">
        <v>0</v>
      </c>
      <c r="T18">
        <v>0</v>
      </c>
      <c r="U18">
        <v>0</v>
      </c>
      <c r="V18" s="12">
        <f t="shared" si="35"/>
        <v>0</v>
      </c>
      <c r="W18" s="9">
        <f t="shared" si="36"/>
        <v>0</v>
      </c>
      <c r="X18" s="9">
        <f t="shared" si="37"/>
        <v>0</v>
      </c>
      <c r="Y18" s="9">
        <f t="shared" si="38"/>
        <v>0</v>
      </c>
      <c r="Z18" s="9">
        <f t="shared" si="39"/>
        <v>0</v>
      </c>
      <c r="AA18">
        <v>0</v>
      </c>
      <c r="AB18">
        <v>0</v>
      </c>
      <c r="AC18">
        <v>0</v>
      </c>
      <c r="AD18" s="12">
        <f t="shared" si="40"/>
        <v>0</v>
      </c>
      <c r="AE18" s="9">
        <f t="shared" si="41"/>
        <v>0</v>
      </c>
      <c r="AF18" s="9">
        <f t="shared" si="42"/>
        <v>0</v>
      </c>
      <c r="AG18" s="9">
        <f t="shared" si="43"/>
        <v>0</v>
      </c>
      <c r="AH18" s="9">
        <f t="shared" si="44"/>
        <v>0</v>
      </c>
      <c r="AI18" s="15">
        <f t="shared" si="45"/>
        <v>0</v>
      </c>
      <c r="AJ18" s="15">
        <f t="shared" si="46"/>
        <v>1</v>
      </c>
      <c r="AK18" s="15">
        <f t="shared" si="47"/>
        <v>0</v>
      </c>
      <c r="AL18" s="12">
        <f t="shared" si="48"/>
        <v>0</v>
      </c>
      <c r="AM18" s="12">
        <f t="shared" si="49"/>
        <v>0</v>
      </c>
      <c r="AN18" s="9">
        <f t="shared" si="50"/>
        <v>1</v>
      </c>
      <c r="AO18" s="9">
        <f t="shared" si="51"/>
        <v>1</v>
      </c>
      <c r="AP18" s="9">
        <f t="shared" si="52"/>
        <v>0</v>
      </c>
      <c r="AQ18" s="9">
        <f t="shared" si="53"/>
        <v>1</v>
      </c>
    </row>
    <row r="19">
      <c r="A19">
        <v>166</v>
      </c>
      <c r="B19" s="8" t="s">
        <v>54</v>
      </c>
      <c r="C19">
        <v>0</v>
      </c>
      <c r="D19">
        <v>0</v>
      </c>
      <c r="E19">
        <v>0</v>
      </c>
      <c r="F19" s="12">
        <f t="shared" si="25"/>
        <v>0</v>
      </c>
      <c r="G19" s="9">
        <f t="shared" si="26"/>
        <v>0</v>
      </c>
      <c r="H19" s="9">
        <f t="shared" si="27"/>
        <v>0</v>
      </c>
      <c r="I19" s="9">
        <f t="shared" si="28"/>
        <v>0</v>
      </c>
      <c r="J19" s="9">
        <f t="shared" si="29"/>
        <v>0</v>
      </c>
      <c r="K19">
        <v>0</v>
      </c>
      <c r="L19">
        <v>0</v>
      </c>
      <c r="M19">
        <v>0</v>
      </c>
      <c r="N19" s="12">
        <f t="shared" si="30"/>
        <v>0</v>
      </c>
      <c r="O19" s="9">
        <f t="shared" si="31"/>
        <v>0</v>
      </c>
      <c r="P19" s="9">
        <f t="shared" si="32"/>
        <v>0</v>
      </c>
      <c r="Q19" s="9">
        <f t="shared" si="33"/>
        <v>0</v>
      </c>
      <c r="R19" s="9">
        <f t="shared" si="34"/>
        <v>0</v>
      </c>
      <c r="S19">
        <v>0</v>
      </c>
      <c r="T19">
        <v>0</v>
      </c>
      <c r="U19">
        <v>0</v>
      </c>
      <c r="V19" s="12">
        <f t="shared" si="35"/>
        <v>0</v>
      </c>
      <c r="W19" s="9">
        <f t="shared" si="36"/>
        <v>0</v>
      </c>
      <c r="X19" s="9">
        <f t="shared" si="37"/>
        <v>0</v>
      </c>
      <c r="Y19" s="9">
        <f t="shared" si="38"/>
        <v>0</v>
      </c>
      <c r="Z19" s="9">
        <f t="shared" si="39"/>
        <v>0</v>
      </c>
      <c r="AA19">
        <v>1</v>
      </c>
      <c r="AB19">
        <v>1</v>
      </c>
      <c r="AC19">
        <v>1</v>
      </c>
      <c r="AD19" s="12">
        <f t="shared" si="40"/>
        <v>1</v>
      </c>
      <c r="AE19" s="9">
        <f t="shared" si="41"/>
        <v>3</v>
      </c>
      <c r="AF19" s="9">
        <f t="shared" si="42"/>
        <v>2</v>
      </c>
      <c r="AG19" s="9">
        <f t="shared" si="43"/>
        <v>2</v>
      </c>
      <c r="AH19" s="9">
        <f t="shared" si="44"/>
        <v>2</v>
      </c>
      <c r="AI19" s="15">
        <f t="shared" si="45"/>
        <v>1</v>
      </c>
      <c r="AJ19" s="15">
        <f t="shared" si="46"/>
        <v>1</v>
      </c>
      <c r="AK19" s="15">
        <f t="shared" si="47"/>
        <v>1</v>
      </c>
      <c r="AL19" s="12">
        <f t="shared" si="48"/>
        <v>1</v>
      </c>
      <c r="AM19" s="12">
        <f t="shared" si="49"/>
        <v>1</v>
      </c>
      <c r="AN19" s="9">
        <f t="shared" si="50"/>
        <v>3</v>
      </c>
      <c r="AO19" s="9">
        <f t="shared" si="51"/>
        <v>2</v>
      </c>
      <c r="AP19" s="9">
        <f t="shared" si="52"/>
        <v>2</v>
      </c>
      <c r="AQ19" s="9">
        <f t="shared" si="53"/>
        <v>2</v>
      </c>
    </row>
    <row r="20">
      <c r="A20">
        <v>167</v>
      </c>
      <c r="B20" s="8" t="s">
        <v>55</v>
      </c>
      <c r="C20">
        <v>0</v>
      </c>
      <c r="D20">
        <v>1</v>
      </c>
      <c r="E20">
        <v>1</v>
      </c>
      <c r="F20" s="12">
        <f t="shared" si="25"/>
        <v>1</v>
      </c>
      <c r="G20" s="9">
        <f t="shared" si="26"/>
        <v>2</v>
      </c>
      <c r="H20" s="9">
        <f t="shared" si="27"/>
        <v>1</v>
      </c>
      <c r="I20" s="9">
        <f t="shared" si="28"/>
        <v>1</v>
      </c>
      <c r="J20" s="9">
        <f t="shared" si="29"/>
        <v>2</v>
      </c>
      <c r="K20">
        <v>1</v>
      </c>
      <c r="L20">
        <v>1</v>
      </c>
      <c r="M20">
        <v>0</v>
      </c>
      <c r="N20" s="12">
        <f t="shared" si="30"/>
        <v>1</v>
      </c>
      <c r="O20" s="9">
        <f t="shared" si="31"/>
        <v>2</v>
      </c>
      <c r="P20" s="9">
        <f t="shared" si="32"/>
        <v>2</v>
      </c>
      <c r="Q20" s="9">
        <f t="shared" si="33"/>
        <v>1</v>
      </c>
      <c r="R20" s="9">
        <f t="shared" si="34"/>
        <v>1</v>
      </c>
      <c r="S20">
        <v>0</v>
      </c>
      <c r="T20">
        <v>0</v>
      </c>
      <c r="U20">
        <v>0</v>
      </c>
      <c r="V20" s="12">
        <f t="shared" si="35"/>
        <v>0</v>
      </c>
      <c r="W20" s="9">
        <f t="shared" si="36"/>
        <v>0</v>
      </c>
      <c r="X20" s="9">
        <f t="shared" si="37"/>
        <v>0</v>
      </c>
      <c r="Y20" s="9">
        <f t="shared" si="38"/>
        <v>0</v>
      </c>
      <c r="Z20" s="9">
        <f t="shared" si="39"/>
        <v>0</v>
      </c>
      <c r="AA20">
        <v>0</v>
      </c>
      <c r="AB20">
        <v>0</v>
      </c>
      <c r="AC20">
        <v>0</v>
      </c>
      <c r="AD20" s="12">
        <f t="shared" si="40"/>
        <v>0</v>
      </c>
      <c r="AE20" s="9">
        <f t="shared" si="41"/>
        <v>0</v>
      </c>
      <c r="AF20" s="9">
        <f t="shared" si="42"/>
        <v>0</v>
      </c>
      <c r="AG20" s="9">
        <f t="shared" si="43"/>
        <v>0</v>
      </c>
      <c r="AH20" s="9">
        <f t="shared" si="44"/>
        <v>0</v>
      </c>
      <c r="AI20" s="15">
        <f t="shared" si="45"/>
        <v>1</v>
      </c>
      <c r="AJ20" s="15">
        <f t="shared" si="46"/>
        <v>1</v>
      </c>
      <c r="AK20" s="15">
        <f t="shared" si="47"/>
        <v>1</v>
      </c>
      <c r="AL20" s="12">
        <f t="shared" si="48"/>
        <v>1</v>
      </c>
      <c r="AM20" s="12">
        <f t="shared" si="49"/>
        <v>1</v>
      </c>
      <c r="AN20" s="9">
        <f t="shared" si="50"/>
        <v>3</v>
      </c>
      <c r="AO20" s="9">
        <f t="shared" si="51"/>
        <v>2</v>
      </c>
      <c r="AP20" s="9">
        <f t="shared" si="52"/>
        <v>2</v>
      </c>
      <c r="AQ20" s="9">
        <f t="shared" si="53"/>
        <v>2</v>
      </c>
    </row>
    <row r="21" ht="29.100000000000001">
      <c r="A21">
        <v>173</v>
      </c>
      <c r="B21" s="8" t="s">
        <v>59</v>
      </c>
      <c r="C21">
        <v>0</v>
      </c>
      <c r="D21">
        <v>0</v>
      </c>
      <c r="E21">
        <v>0</v>
      </c>
      <c r="F21" s="12">
        <f t="shared" si="25"/>
        <v>0</v>
      </c>
      <c r="G21" s="9">
        <f t="shared" si="26"/>
        <v>0</v>
      </c>
      <c r="H21" s="9">
        <f t="shared" si="27"/>
        <v>0</v>
      </c>
      <c r="I21" s="9">
        <f t="shared" si="28"/>
        <v>0</v>
      </c>
      <c r="J21" s="9">
        <f t="shared" si="29"/>
        <v>0</v>
      </c>
      <c r="K21">
        <v>0</v>
      </c>
      <c r="L21">
        <v>0</v>
      </c>
      <c r="M21">
        <v>0</v>
      </c>
      <c r="N21" s="12">
        <f t="shared" si="30"/>
        <v>0</v>
      </c>
      <c r="O21" s="9">
        <f t="shared" si="31"/>
        <v>0</v>
      </c>
      <c r="P21" s="9">
        <f t="shared" si="32"/>
        <v>0</v>
      </c>
      <c r="Q21" s="9">
        <f t="shared" si="33"/>
        <v>0</v>
      </c>
      <c r="R21" s="9">
        <f t="shared" si="34"/>
        <v>0</v>
      </c>
      <c r="S21">
        <v>1</v>
      </c>
      <c r="T21">
        <v>1</v>
      </c>
      <c r="U21">
        <v>1</v>
      </c>
      <c r="V21" s="12">
        <f t="shared" si="35"/>
        <v>1</v>
      </c>
      <c r="W21" s="9">
        <f t="shared" si="36"/>
        <v>3</v>
      </c>
      <c r="X21" s="9">
        <f t="shared" si="37"/>
        <v>2</v>
      </c>
      <c r="Y21" s="9">
        <f t="shared" si="38"/>
        <v>2</v>
      </c>
      <c r="Z21" s="9">
        <f t="shared" si="39"/>
        <v>2</v>
      </c>
      <c r="AA21">
        <v>0</v>
      </c>
      <c r="AB21">
        <v>0</v>
      </c>
      <c r="AC21">
        <v>0</v>
      </c>
      <c r="AD21" s="12">
        <f t="shared" si="40"/>
        <v>0</v>
      </c>
      <c r="AE21" s="9">
        <f t="shared" si="41"/>
        <v>0</v>
      </c>
      <c r="AF21" s="9">
        <f t="shared" si="42"/>
        <v>0</v>
      </c>
      <c r="AG21" s="9">
        <f t="shared" si="43"/>
        <v>0</v>
      </c>
      <c r="AH21" s="9">
        <f t="shared" si="44"/>
        <v>0</v>
      </c>
      <c r="AI21" s="15">
        <f t="shared" si="45"/>
        <v>1</v>
      </c>
      <c r="AJ21" s="15">
        <f t="shared" si="46"/>
        <v>1</v>
      </c>
      <c r="AK21" s="15">
        <f t="shared" si="47"/>
        <v>1</v>
      </c>
      <c r="AL21" s="12">
        <f t="shared" si="48"/>
        <v>1</v>
      </c>
      <c r="AM21" s="12">
        <f t="shared" si="49"/>
        <v>1</v>
      </c>
      <c r="AN21" s="9">
        <f t="shared" si="50"/>
        <v>3</v>
      </c>
      <c r="AO21" s="9">
        <f t="shared" si="51"/>
        <v>2</v>
      </c>
      <c r="AP21" s="9">
        <f t="shared" si="52"/>
        <v>2</v>
      </c>
      <c r="AQ21" s="9">
        <f t="shared" si="53"/>
        <v>2</v>
      </c>
    </row>
    <row r="22">
      <c r="A22">
        <v>176</v>
      </c>
      <c r="B22" s="8" t="s">
        <v>61</v>
      </c>
      <c r="C22">
        <v>0</v>
      </c>
      <c r="D22">
        <v>0</v>
      </c>
      <c r="E22">
        <v>0</v>
      </c>
      <c r="F22" s="12">
        <f t="shared" si="25"/>
        <v>0</v>
      </c>
      <c r="G22" s="9">
        <f t="shared" si="26"/>
        <v>0</v>
      </c>
      <c r="H22" s="9">
        <f t="shared" si="27"/>
        <v>0</v>
      </c>
      <c r="I22" s="9">
        <f t="shared" si="28"/>
        <v>0</v>
      </c>
      <c r="J22" s="9">
        <f t="shared" si="29"/>
        <v>0</v>
      </c>
      <c r="K22">
        <v>1</v>
      </c>
      <c r="L22">
        <v>1</v>
      </c>
      <c r="M22">
        <v>0</v>
      </c>
      <c r="N22" s="12">
        <f t="shared" si="30"/>
        <v>1</v>
      </c>
      <c r="O22" s="9">
        <f t="shared" si="31"/>
        <v>2</v>
      </c>
      <c r="P22" s="9">
        <f t="shared" si="32"/>
        <v>2</v>
      </c>
      <c r="Q22" s="9">
        <f t="shared" si="33"/>
        <v>1</v>
      </c>
      <c r="R22" s="9">
        <f t="shared" si="34"/>
        <v>1</v>
      </c>
      <c r="S22">
        <v>0</v>
      </c>
      <c r="T22">
        <v>0</v>
      </c>
      <c r="U22">
        <v>0</v>
      </c>
      <c r="V22" s="12">
        <f t="shared" si="35"/>
        <v>0</v>
      </c>
      <c r="W22" s="9">
        <f t="shared" si="36"/>
        <v>0</v>
      </c>
      <c r="X22" s="9">
        <f t="shared" si="37"/>
        <v>0</v>
      </c>
      <c r="Y22" s="9">
        <f t="shared" si="38"/>
        <v>0</v>
      </c>
      <c r="Z22" s="9">
        <f t="shared" si="39"/>
        <v>0</v>
      </c>
      <c r="AA22">
        <v>0</v>
      </c>
      <c r="AB22">
        <v>1</v>
      </c>
      <c r="AC22">
        <v>0</v>
      </c>
      <c r="AD22" s="12">
        <f t="shared" si="40"/>
        <v>0</v>
      </c>
      <c r="AE22" s="9">
        <f t="shared" si="41"/>
        <v>1</v>
      </c>
      <c r="AF22" s="9">
        <f t="shared" si="42"/>
        <v>1</v>
      </c>
      <c r="AG22" s="9">
        <f t="shared" si="43"/>
        <v>0</v>
      </c>
      <c r="AH22" s="9">
        <f t="shared" si="44"/>
        <v>1</v>
      </c>
      <c r="AI22" s="15">
        <f t="shared" si="45"/>
        <v>1</v>
      </c>
      <c r="AJ22" s="15">
        <f t="shared" si="46"/>
        <v>1</v>
      </c>
      <c r="AK22" s="15">
        <f t="shared" si="47"/>
        <v>0</v>
      </c>
      <c r="AL22" s="12">
        <f t="shared" si="48"/>
        <v>1</v>
      </c>
      <c r="AM22" s="12">
        <f t="shared" si="49"/>
        <v>1</v>
      </c>
      <c r="AN22" s="9">
        <f t="shared" si="50"/>
        <v>2</v>
      </c>
      <c r="AO22" s="9">
        <f t="shared" si="51"/>
        <v>2</v>
      </c>
      <c r="AP22" s="9">
        <f t="shared" si="52"/>
        <v>1</v>
      </c>
      <c r="AQ22" s="9">
        <f t="shared" si="53"/>
        <v>1</v>
      </c>
    </row>
    <row r="23">
      <c r="A23">
        <v>180</v>
      </c>
      <c r="B23" s="8" t="s">
        <v>63</v>
      </c>
      <c r="C23">
        <v>0</v>
      </c>
      <c r="D23">
        <v>0</v>
      </c>
      <c r="E23">
        <v>0</v>
      </c>
      <c r="F23" s="12">
        <f t="shared" si="25"/>
        <v>0</v>
      </c>
      <c r="G23" s="9">
        <f t="shared" si="26"/>
        <v>0</v>
      </c>
      <c r="H23" s="9">
        <f t="shared" si="27"/>
        <v>0</v>
      </c>
      <c r="I23" s="9">
        <f t="shared" si="28"/>
        <v>0</v>
      </c>
      <c r="J23" s="9">
        <f t="shared" si="29"/>
        <v>0</v>
      </c>
      <c r="K23">
        <v>0</v>
      </c>
      <c r="L23">
        <v>0</v>
      </c>
      <c r="M23">
        <v>0</v>
      </c>
      <c r="N23" s="12">
        <f t="shared" si="30"/>
        <v>0</v>
      </c>
      <c r="O23" s="9">
        <f t="shared" si="31"/>
        <v>0</v>
      </c>
      <c r="P23" s="9">
        <f t="shared" si="32"/>
        <v>0</v>
      </c>
      <c r="Q23" s="9">
        <f t="shared" si="33"/>
        <v>0</v>
      </c>
      <c r="R23" s="9">
        <f t="shared" si="34"/>
        <v>0</v>
      </c>
      <c r="S23">
        <v>1</v>
      </c>
      <c r="T23">
        <v>1</v>
      </c>
      <c r="U23">
        <v>1</v>
      </c>
      <c r="V23" s="12">
        <f t="shared" si="35"/>
        <v>1</v>
      </c>
      <c r="W23" s="9">
        <f t="shared" si="36"/>
        <v>3</v>
      </c>
      <c r="X23" s="9">
        <f t="shared" si="37"/>
        <v>2</v>
      </c>
      <c r="Y23" s="9">
        <f t="shared" si="38"/>
        <v>2</v>
      </c>
      <c r="Z23" s="9">
        <f t="shared" si="39"/>
        <v>2</v>
      </c>
      <c r="AA23">
        <v>0</v>
      </c>
      <c r="AB23">
        <v>0</v>
      </c>
      <c r="AC23">
        <v>0</v>
      </c>
      <c r="AD23" s="12">
        <f t="shared" si="40"/>
        <v>0</v>
      </c>
      <c r="AE23" s="9">
        <f t="shared" si="41"/>
        <v>0</v>
      </c>
      <c r="AF23" s="9">
        <f t="shared" si="42"/>
        <v>0</v>
      </c>
      <c r="AG23" s="9">
        <f t="shared" si="43"/>
        <v>0</v>
      </c>
      <c r="AH23" s="9">
        <f t="shared" si="44"/>
        <v>0</v>
      </c>
      <c r="AI23" s="15">
        <f t="shared" si="45"/>
        <v>1</v>
      </c>
      <c r="AJ23" s="15">
        <f t="shared" si="46"/>
        <v>1</v>
      </c>
      <c r="AK23" s="15">
        <f t="shared" si="47"/>
        <v>1</v>
      </c>
      <c r="AL23" s="12">
        <f t="shared" si="48"/>
        <v>1</v>
      </c>
      <c r="AM23" s="12">
        <f t="shared" si="49"/>
        <v>1</v>
      </c>
      <c r="AN23" s="9">
        <f t="shared" si="50"/>
        <v>3</v>
      </c>
      <c r="AO23" s="9">
        <f t="shared" si="51"/>
        <v>2</v>
      </c>
      <c r="AP23" s="9">
        <f t="shared" si="52"/>
        <v>2</v>
      </c>
      <c r="AQ23" s="9">
        <f t="shared" si="53"/>
        <v>2</v>
      </c>
    </row>
    <row r="24" ht="29.100000000000001">
      <c r="A24">
        <v>181</v>
      </c>
      <c r="B24" s="8" t="s">
        <v>64</v>
      </c>
      <c r="C24">
        <v>0</v>
      </c>
      <c r="D24">
        <v>0</v>
      </c>
      <c r="E24">
        <v>0</v>
      </c>
      <c r="F24" s="12">
        <f t="shared" si="25"/>
        <v>0</v>
      </c>
      <c r="G24" s="9">
        <f t="shared" si="26"/>
        <v>0</v>
      </c>
      <c r="H24" s="9">
        <f t="shared" si="27"/>
        <v>0</v>
      </c>
      <c r="I24" s="9">
        <f t="shared" si="28"/>
        <v>0</v>
      </c>
      <c r="J24" s="9">
        <f t="shared" si="29"/>
        <v>0</v>
      </c>
      <c r="K24">
        <v>0</v>
      </c>
      <c r="L24">
        <v>0</v>
      </c>
      <c r="M24">
        <v>0</v>
      </c>
      <c r="N24" s="12">
        <f t="shared" si="30"/>
        <v>0</v>
      </c>
      <c r="O24" s="9">
        <f t="shared" si="31"/>
        <v>0</v>
      </c>
      <c r="P24" s="9">
        <f t="shared" si="32"/>
        <v>0</v>
      </c>
      <c r="Q24" s="9">
        <f t="shared" si="33"/>
        <v>0</v>
      </c>
      <c r="R24" s="9">
        <f t="shared" si="34"/>
        <v>0</v>
      </c>
      <c r="S24">
        <v>0</v>
      </c>
      <c r="T24">
        <v>0</v>
      </c>
      <c r="U24">
        <v>0</v>
      </c>
      <c r="V24" s="12">
        <f t="shared" si="35"/>
        <v>0</v>
      </c>
      <c r="W24" s="9">
        <f t="shared" si="36"/>
        <v>0</v>
      </c>
      <c r="X24" s="9">
        <f t="shared" si="37"/>
        <v>0</v>
      </c>
      <c r="Y24" s="9">
        <f t="shared" si="38"/>
        <v>0</v>
      </c>
      <c r="Z24" s="9">
        <f t="shared" si="39"/>
        <v>0</v>
      </c>
      <c r="AA24">
        <v>0</v>
      </c>
      <c r="AB24">
        <v>1</v>
      </c>
      <c r="AC24">
        <v>0</v>
      </c>
      <c r="AD24" s="12">
        <f t="shared" si="40"/>
        <v>0</v>
      </c>
      <c r="AE24" s="9">
        <f t="shared" si="41"/>
        <v>1</v>
      </c>
      <c r="AF24" s="9">
        <f t="shared" si="42"/>
        <v>1</v>
      </c>
      <c r="AG24" s="9">
        <f t="shared" si="43"/>
        <v>0</v>
      </c>
      <c r="AH24" s="9">
        <f t="shared" si="44"/>
        <v>1</v>
      </c>
      <c r="AI24" s="15">
        <f t="shared" si="45"/>
        <v>0</v>
      </c>
      <c r="AJ24" s="15">
        <f t="shared" si="46"/>
        <v>1</v>
      </c>
      <c r="AK24" s="15">
        <f t="shared" si="47"/>
        <v>0</v>
      </c>
      <c r="AL24" s="12">
        <f t="shared" si="48"/>
        <v>0</v>
      </c>
      <c r="AM24" s="12">
        <f t="shared" si="49"/>
        <v>0</v>
      </c>
      <c r="AN24" s="9">
        <f t="shared" si="50"/>
        <v>1</v>
      </c>
      <c r="AO24" s="9">
        <f t="shared" si="51"/>
        <v>1</v>
      </c>
      <c r="AP24" s="9">
        <f t="shared" si="52"/>
        <v>0</v>
      </c>
      <c r="AQ24" s="9">
        <f t="shared" si="53"/>
        <v>1</v>
      </c>
    </row>
    <row r="25">
      <c r="A25">
        <v>186</v>
      </c>
      <c r="B25" s="8" t="s">
        <v>65</v>
      </c>
      <c r="C25">
        <v>0</v>
      </c>
      <c r="D25">
        <v>0</v>
      </c>
      <c r="E25">
        <v>0</v>
      </c>
      <c r="F25" s="12">
        <f t="shared" si="25"/>
        <v>0</v>
      </c>
      <c r="G25" s="9">
        <f t="shared" si="26"/>
        <v>0</v>
      </c>
      <c r="H25" s="9">
        <f t="shared" si="27"/>
        <v>0</v>
      </c>
      <c r="I25" s="9">
        <f t="shared" si="28"/>
        <v>0</v>
      </c>
      <c r="J25" s="9">
        <f t="shared" si="29"/>
        <v>0</v>
      </c>
      <c r="K25">
        <v>0</v>
      </c>
      <c r="L25">
        <v>1</v>
      </c>
      <c r="M25">
        <v>0</v>
      </c>
      <c r="N25" s="12">
        <f t="shared" si="30"/>
        <v>0</v>
      </c>
      <c r="O25" s="9">
        <f t="shared" si="31"/>
        <v>1</v>
      </c>
      <c r="P25" s="9">
        <f t="shared" si="32"/>
        <v>1</v>
      </c>
      <c r="Q25" s="9">
        <f t="shared" si="33"/>
        <v>0</v>
      </c>
      <c r="R25" s="9">
        <f t="shared" si="34"/>
        <v>1</v>
      </c>
      <c r="S25">
        <v>1</v>
      </c>
      <c r="T25">
        <v>0</v>
      </c>
      <c r="U25">
        <v>1</v>
      </c>
      <c r="V25" s="12">
        <f t="shared" si="35"/>
        <v>1</v>
      </c>
      <c r="W25" s="9">
        <f t="shared" si="36"/>
        <v>2</v>
      </c>
      <c r="X25" s="9">
        <f t="shared" si="37"/>
        <v>1</v>
      </c>
      <c r="Y25" s="9">
        <f t="shared" si="38"/>
        <v>2</v>
      </c>
      <c r="Z25" s="9">
        <f t="shared" si="39"/>
        <v>1</v>
      </c>
      <c r="AA25">
        <v>0</v>
      </c>
      <c r="AB25">
        <v>0</v>
      </c>
      <c r="AC25">
        <v>0</v>
      </c>
      <c r="AD25" s="12">
        <f t="shared" si="40"/>
        <v>0</v>
      </c>
      <c r="AE25" s="9">
        <f t="shared" si="41"/>
        <v>0</v>
      </c>
      <c r="AF25" s="9">
        <f t="shared" si="42"/>
        <v>0</v>
      </c>
      <c r="AG25" s="9">
        <f t="shared" si="43"/>
        <v>0</v>
      </c>
      <c r="AH25" s="9">
        <f t="shared" si="44"/>
        <v>0</v>
      </c>
      <c r="AI25" s="15">
        <f t="shared" si="45"/>
        <v>1</v>
      </c>
      <c r="AJ25" s="15">
        <f t="shared" si="46"/>
        <v>1</v>
      </c>
      <c r="AK25" s="15">
        <f t="shared" si="47"/>
        <v>1</v>
      </c>
      <c r="AL25" s="12">
        <f t="shared" si="48"/>
        <v>1</v>
      </c>
      <c r="AM25" s="12">
        <f t="shared" si="49"/>
        <v>1</v>
      </c>
      <c r="AN25" s="9">
        <f t="shared" si="50"/>
        <v>3</v>
      </c>
      <c r="AO25" s="9">
        <f t="shared" si="51"/>
        <v>2</v>
      </c>
      <c r="AP25" s="9">
        <f t="shared" si="52"/>
        <v>2</v>
      </c>
      <c r="AQ25" s="9">
        <f t="shared" si="53"/>
        <v>2</v>
      </c>
    </row>
    <row r="26" ht="29.100000000000001">
      <c r="A26">
        <v>187</v>
      </c>
      <c r="B26" s="8" t="s">
        <v>68</v>
      </c>
      <c r="C26">
        <v>0</v>
      </c>
      <c r="D26">
        <v>0</v>
      </c>
      <c r="E26">
        <v>0</v>
      </c>
      <c r="F26" s="12">
        <f t="shared" si="25"/>
        <v>0</v>
      </c>
      <c r="G26" s="9">
        <f t="shared" si="26"/>
        <v>0</v>
      </c>
      <c r="H26" s="9">
        <f t="shared" si="27"/>
        <v>0</v>
      </c>
      <c r="I26" s="9">
        <f t="shared" si="28"/>
        <v>0</v>
      </c>
      <c r="J26" s="9">
        <f t="shared" si="29"/>
        <v>0</v>
      </c>
      <c r="K26">
        <v>0</v>
      </c>
      <c r="L26">
        <v>0</v>
      </c>
      <c r="M26">
        <v>0</v>
      </c>
      <c r="N26" s="12">
        <f t="shared" si="30"/>
        <v>0</v>
      </c>
      <c r="O26" s="9">
        <f t="shared" si="31"/>
        <v>0</v>
      </c>
      <c r="P26" s="9">
        <f t="shared" si="32"/>
        <v>0</v>
      </c>
      <c r="Q26" s="9">
        <f t="shared" si="33"/>
        <v>0</v>
      </c>
      <c r="R26" s="9">
        <f t="shared" si="34"/>
        <v>0</v>
      </c>
      <c r="S26">
        <v>0</v>
      </c>
      <c r="T26">
        <v>0</v>
      </c>
      <c r="U26">
        <v>0</v>
      </c>
      <c r="V26" s="12">
        <f t="shared" si="35"/>
        <v>0</v>
      </c>
      <c r="W26" s="9">
        <f t="shared" si="36"/>
        <v>0</v>
      </c>
      <c r="X26" s="9">
        <f t="shared" si="37"/>
        <v>0</v>
      </c>
      <c r="Y26" s="9">
        <f t="shared" si="38"/>
        <v>0</v>
      </c>
      <c r="Z26" s="9">
        <f t="shared" si="39"/>
        <v>0</v>
      </c>
      <c r="AA26">
        <v>0</v>
      </c>
      <c r="AB26">
        <v>0</v>
      </c>
      <c r="AC26">
        <v>0</v>
      </c>
      <c r="AD26" s="12">
        <f t="shared" si="40"/>
        <v>0</v>
      </c>
      <c r="AE26" s="9">
        <f t="shared" si="41"/>
        <v>0</v>
      </c>
      <c r="AF26" s="9">
        <f t="shared" si="42"/>
        <v>0</v>
      </c>
      <c r="AG26" s="9">
        <f t="shared" si="43"/>
        <v>0</v>
      </c>
      <c r="AH26" s="9">
        <f t="shared" si="44"/>
        <v>0</v>
      </c>
      <c r="AI26" s="15">
        <f t="shared" si="45"/>
        <v>0</v>
      </c>
      <c r="AJ26" s="15">
        <f t="shared" si="46"/>
        <v>0</v>
      </c>
      <c r="AK26" s="15">
        <f t="shared" si="47"/>
        <v>0</v>
      </c>
      <c r="AL26" s="12">
        <f t="shared" si="48"/>
        <v>0</v>
      </c>
      <c r="AM26" s="12">
        <f t="shared" si="49"/>
        <v>0</v>
      </c>
      <c r="AN26" s="9">
        <f t="shared" si="50"/>
        <v>0</v>
      </c>
      <c r="AO26" s="9">
        <f t="shared" si="51"/>
        <v>0</v>
      </c>
      <c r="AP26" s="9">
        <f t="shared" si="52"/>
        <v>0</v>
      </c>
      <c r="AQ26" s="9">
        <f t="shared" si="53"/>
        <v>0</v>
      </c>
    </row>
    <row r="27">
      <c r="A27">
        <v>195</v>
      </c>
      <c r="B27" s="8" t="s">
        <v>69</v>
      </c>
      <c r="C27">
        <v>0</v>
      </c>
      <c r="D27">
        <v>0</v>
      </c>
      <c r="E27">
        <v>0</v>
      </c>
      <c r="F27" s="12">
        <f t="shared" si="25"/>
        <v>0</v>
      </c>
      <c r="G27" s="9">
        <f t="shared" si="26"/>
        <v>0</v>
      </c>
      <c r="H27" s="9">
        <f t="shared" si="27"/>
        <v>0</v>
      </c>
      <c r="I27" s="9">
        <f t="shared" si="28"/>
        <v>0</v>
      </c>
      <c r="J27" s="9">
        <f t="shared" si="29"/>
        <v>0</v>
      </c>
      <c r="K27">
        <v>0</v>
      </c>
      <c r="L27">
        <v>0</v>
      </c>
      <c r="M27">
        <v>0</v>
      </c>
      <c r="N27" s="12">
        <f t="shared" si="30"/>
        <v>0</v>
      </c>
      <c r="O27" s="9">
        <f t="shared" si="31"/>
        <v>0</v>
      </c>
      <c r="P27" s="9">
        <f t="shared" si="32"/>
        <v>0</v>
      </c>
      <c r="Q27" s="9">
        <f t="shared" si="33"/>
        <v>0</v>
      </c>
      <c r="R27" s="9">
        <f t="shared" si="34"/>
        <v>0</v>
      </c>
      <c r="S27">
        <v>0</v>
      </c>
      <c r="T27">
        <v>0</v>
      </c>
      <c r="U27">
        <v>0</v>
      </c>
      <c r="V27" s="12">
        <f t="shared" si="35"/>
        <v>0</v>
      </c>
      <c r="W27" s="9">
        <f t="shared" si="36"/>
        <v>0</v>
      </c>
      <c r="X27" s="9">
        <f t="shared" si="37"/>
        <v>0</v>
      </c>
      <c r="Y27" s="9">
        <f t="shared" si="38"/>
        <v>0</v>
      </c>
      <c r="Z27" s="9">
        <f t="shared" si="39"/>
        <v>0</v>
      </c>
      <c r="AA27">
        <v>0</v>
      </c>
      <c r="AB27">
        <v>0</v>
      </c>
      <c r="AC27">
        <v>0</v>
      </c>
      <c r="AD27" s="12">
        <f t="shared" si="40"/>
        <v>0</v>
      </c>
      <c r="AE27" s="9">
        <f t="shared" si="41"/>
        <v>0</v>
      </c>
      <c r="AF27" s="9">
        <f t="shared" si="42"/>
        <v>0</v>
      </c>
      <c r="AG27" s="9">
        <f t="shared" si="43"/>
        <v>0</v>
      </c>
      <c r="AH27" s="9">
        <f t="shared" si="44"/>
        <v>0</v>
      </c>
      <c r="AI27" s="15">
        <f t="shared" si="45"/>
        <v>0</v>
      </c>
      <c r="AJ27" s="15">
        <f t="shared" si="46"/>
        <v>0</v>
      </c>
      <c r="AK27" s="15">
        <f t="shared" si="47"/>
        <v>0</v>
      </c>
      <c r="AL27" s="12">
        <f t="shared" si="48"/>
        <v>0</v>
      </c>
      <c r="AM27" s="12">
        <f t="shared" si="49"/>
        <v>0</v>
      </c>
      <c r="AN27" s="9">
        <f t="shared" si="50"/>
        <v>0</v>
      </c>
      <c r="AO27" s="9">
        <f t="shared" si="51"/>
        <v>0</v>
      </c>
      <c r="AP27" s="9">
        <f t="shared" si="52"/>
        <v>0</v>
      </c>
      <c r="AQ27" s="9">
        <f t="shared" si="53"/>
        <v>0</v>
      </c>
    </row>
    <row r="28" ht="29.100000000000001">
      <c r="A28">
        <v>203</v>
      </c>
      <c r="B28" s="8" t="s">
        <v>70</v>
      </c>
      <c r="C28">
        <v>0</v>
      </c>
      <c r="D28">
        <v>1</v>
      </c>
      <c r="E28">
        <v>0</v>
      </c>
      <c r="F28" s="12">
        <f t="shared" si="25"/>
        <v>0</v>
      </c>
      <c r="G28" s="9">
        <f t="shared" si="26"/>
        <v>1</v>
      </c>
      <c r="H28" s="9">
        <f t="shared" si="27"/>
        <v>1</v>
      </c>
      <c r="I28" s="9">
        <f t="shared" si="28"/>
        <v>0</v>
      </c>
      <c r="J28" s="9">
        <f t="shared" si="29"/>
        <v>1</v>
      </c>
      <c r="K28">
        <v>1</v>
      </c>
      <c r="L28">
        <v>1</v>
      </c>
      <c r="M28">
        <v>1</v>
      </c>
      <c r="N28" s="12">
        <f t="shared" si="30"/>
        <v>1</v>
      </c>
      <c r="O28" s="9">
        <f t="shared" si="31"/>
        <v>3</v>
      </c>
      <c r="P28" s="9">
        <f t="shared" si="32"/>
        <v>2</v>
      </c>
      <c r="Q28" s="9">
        <f t="shared" si="33"/>
        <v>2</v>
      </c>
      <c r="R28" s="9">
        <f t="shared" si="34"/>
        <v>2</v>
      </c>
      <c r="S28">
        <v>1</v>
      </c>
      <c r="T28">
        <v>0</v>
      </c>
      <c r="U28">
        <v>0</v>
      </c>
      <c r="V28" s="12">
        <f t="shared" si="35"/>
        <v>0</v>
      </c>
      <c r="W28" s="9">
        <f t="shared" si="36"/>
        <v>1</v>
      </c>
      <c r="X28" s="9">
        <f t="shared" si="37"/>
        <v>1</v>
      </c>
      <c r="Y28" s="9">
        <f t="shared" si="38"/>
        <v>1</v>
      </c>
      <c r="Z28" s="9">
        <f t="shared" si="39"/>
        <v>0</v>
      </c>
      <c r="AA28">
        <v>0</v>
      </c>
      <c r="AB28">
        <v>0</v>
      </c>
      <c r="AC28">
        <v>0</v>
      </c>
      <c r="AD28" s="12">
        <f t="shared" si="40"/>
        <v>0</v>
      </c>
      <c r="AE28" s="9">
        <f t="shared" si="41"/>
        <v>0</v>
      </c>
      <c r="AF28" s="9">
        <f t="shared" si="42"/>
        <v>0</v>
      </c>
      <c r="AG28" s="9">
        <f t="shared" si="43"/>
        <v>0</v>
      </c>
      <c r="AH28" s="9">
        <f t="shared" si="44"/>
        <v>0</v>
      </c>
      <c r="AI28" s="15">
        <f t="shared" si="45"/>
        <v>1</v>
      </c>
      <c r="AJ28" s="15">
        <f t="shared" si="46"/>
        <v>1</v>
      </c>
      <c r="AK28" s="15">
        <f t="shared" si="47"/>
        <v>1</v>
      </c>
      <c r="AL28" s="12">
        <f t="shared" si="48"/>
        <v>1</v>
      </c>
      <c r="AM28" s="12">
        <f t="shared" si="49"/>
        <v>1</v>
      </c>
      <c r="AN28" s="9">
        <f t="shared" si="50"/>
        <v>3</v>
      </c>
      <c r="AO28" s="9">
        <f t="shared" si="51"/>
        <v>2</v>
      </c>
      <c r="AP28" s="9">
        <f t="shared" si="52"/>
        <v>2</v>
      </c>
      <c r="AQ28" s="9">
        <f t="shared" si="53"/>
        <v>2</v>
      </c>
    </row>
    <row r="29">
      <c r="A29">
        <v>205</v>
      </c>
      <c r="B29" s="8" t="s">
        <v>73</v>
      </c>
      <c r="C29">
        <v>0</v>
      </c>
      <c r="D29">
        <v>1</v>
      </c>
      <c r="E29">
        <v>0</v>
      </c>
      <c r="F29" s="12">
        <f t="shared" si="25"/>
        <v>0</v>
      </c>
      <c r="G29" s="9">
        <f t="shared" si="26"/>
        <v>1</v>
      </c>
      <c r="H29" s="9">
        <f t="shared" si="27"/>
        <v>1</v>
      </c>
      <c r="I29" s="9">
        <f t="shared" si="28"/>
        <v>0</v>
      </c>
      <c r="J29" s="9">
        <f t="shared" si="29"/>
        <v>1</v>
      </c>
      <c r="K29">
        <v>0</v>
      </c>
      <c r="L29">
        <v>1</v>
      </c>
      <c r="M29">
        <v>0</v>
      </c>
      <c r="N29" s="12">
        <f t="shared" si="30"/>
        <v>0</v>
      </c>
      <c r="O29" s="9">
        <f t="shared" si="31"/>
        <v>1</v>
      </c>
      <c r="P29" s="9">
        <f t="shared" si="32"/>
        <v>1</v>
      </c>
      <c r="Q29" s="9">
        <f t="shared" si="33"/>
        <v>0</v>
      </c>
      <c r="R29" s="9">
        <f t="shared" si="34"/>
        <v>1</v>
      </c>
      <c r="S29">
        <v>1</v>
      </c>
      <c r="T29">
        <v>0</v>
      </c>
      <c r="U29">
        <v>1</v>
      </c>
      <c r="V29" s="12">
        <f t="shared" si="35"/>
        <v>1</v>
      </c>
      <c r="W29" s="9">
        <f t="shared" si="36"/>
        <v>2</v>
      </c>
      <c r="X29" s="9">
        <f t="shared" si="37"/>
        <v>1</v>
      </c>
      <c r="Y29" s="9">
        <f t="shared" si="38"/>
        <v>2</v>
      </c>
      <c r="Z29" s="9">
        <f t="shared" si="39"/>
        <v>1</v>
      </c>
      <c r="AA29">
        <v>1</v>
      </c>
      <c r="AB29">
        <v>1</v>
      </c>
      <c r="AC29">
        <v>0</v>
      </c>
      <c r="AD29" s="12">
        <f t="shared" si="40"/>
        <v>1</v>
      </c>
      <c r="AE29" s="9">
        <f t="shared" si="41"/>
        <v>2</v>
      </c>
      <c r="AF29" s="9">
        <f t="shared" si="42"/>
        <v>2</v>
      </c>
      <c r="AG29" s="9">
        <f t="shared" si="43"/>
        <v>1</v>
      </c>
      <c r="AH29" s="9">
        <f t="shared" si="44"/>
        <v>1</v>
      </c>
      <c r="AI29" s="15">
        <f t="shared" si="45"/>
        <v>1</v>
      </c>
      <c r="AJ29" s="15">
        <f t="shared" si="46"/>
        <v>1</v>
      </c>
      <c r="AK29" s="15">
        <f t="shared" si="47"/>
        <v>1</v>
      </c>
      <c r="AL29" s="12">
        <f t="shared" si="48"/>
        <v>1</v>
      </c>
      <c r="AM29" s="12">
        <f t="shared" si="49"/>
        <v>1</v>
      </c>
      <c r="AN29" s="9">
        <f t="shared" si="50"/>
        <v>3</v>
      </c>
      <c r="AO29" s="9">
        <f t="shared" si="51"/>
        <v>2</v>
      </c>
      <c r="AP29" s="9">
        <f t="shared" si="52"/>
        <v>2</v>
      </c>
      <c r="AQ29" s="9">
        <f t="shared" si="53"/>
        <v>2</v>
      </c>
    </row>
    <row r="30">
      <c r="A30">
        <v>208</v>
      </c>
      <c r="B30" s="8" t="s">
        <v>76</v>
      </c>
      <c r="C30">
        <v>0</v>
      </c>
      <c r="D30">
        <v>0</v>
      </c>
      <c r="E30">
        <v>0</v>
      </c>
      <c r="F30" s="12">
        <f t="shared" si="25"/>
        <v>0</v>
      </c>
      <c r="G30" s="9">
        <f t="shared" si="26"/>
        <v>0</v>
      </c>
      <c r="H30" s="9">
        <f t="shared" si="27"/>
        <v>0</v>
      </c>
      <c r="I30" s="9">
        <f t="shared" si="28"/>
        <v>0</v>
      </c>
      <c r="J30" s="9">
        <f t="shared" si="29"/>
        <v>0</v>
      </c>
      <c r="K30">
        <v>0</v>
      </c>
      <c r="L30">
        <v>0</v>
      </c>
      <c r="M30">
        <v>0</v>
      </c>
      <c r="N30" s="12">
        <f t="shared" si="30"/>
        <v>0</v>
      </c>
      <c r="O30" s="9">
        <f t="shared" si="31"/>
        <v>0</v>
      </c>
      <c r="P30" s="9">
        <f t="shared" si="32"/>
        <v>0</v>
      </c>
      <c r="Q30" s="9">
        <f t="shared" si="33"/>
        <v>0</v>
      </c>
      <c r="R30" s="9">
        <f t="shared" si="34"/>
        <v>0</v>
      </c>
      <c r="S30">
        <v>0</v>
      </c>
      <c r="T30">
        <v>0</v>
      </c>
      <c r="U30">
        <v>0</v>
      </c>
      <c r="V30" s="12">
        <f t="shared" si="35"/>
        <v>0</v>
      </c>
      <c r="W30" s="9">
        <f t="shared" si="36"/>
        <v>0</v>
      </c>
      <c r="X30" s="9">
        <f t="shared" si="37"/>
        <v>0</v>
      </c>
      <c r="Y30" s="9">
        <f t="shared" si="38"/>
        <v>0</v>
      </c>
      <c r="Z30" s="9">
        <f t="shared" si="39"/>
        <v>0</v>
      </c>
      <c r="AA30">
        <v>0</v>
      </c>
      <c r="AB30">
        <v>0</v>
      </c>
      <c r="AC30">
        <v>0</v>
      </c>
      <c r="AD30" s="12">
        <f t="shared" si="40"/>
        <v>0</v>
      </c>
      <c r="AE30" s="9">
        <f t="shared" si="41"/>
        <v>0</v>
      </c>
      <c r="AF30" s="9">
        <f t="shared" si="42"/>
        <v>0</v>
      </c>
      <c r="AG30" s="9">
        <f t="shared" si="43"/>
        <v>0</v>
      </c>
      <c r="AH30" s="9">
        <f t="shared" si="44"/>
        <v>0</v>
      </c>
      <c r="AI30" s="15">
        <f t="shared" si="45"/>
        <v>0</v>
      </c>
      <c r="AJ30" s="15">
        <f t="shared" si="46"/>
        <v>0</v>
      </c>
      <c r="AK30" s="15">
        <f t="shared" si="47"/>
        <v>0</v>
      </c>
      <c r="AL30" s="12">
        <f t="shared" si="48"/>
        <v>0</v>
      </c>
      <c r="AM30" s="12">
        <f t="shared" si="49"/>
        <v>0</v>
      </c>
      <c r="AN30" s="9">
        <f t="shared" si="50"/>
        <v>0</v>
      </c>
      <c r="AO30" s="9">
        <f t="shared" si="51"/>
        <v>0</v>
      </c>
      <c r="AP30" s="9">
        <f t="shared" si="52"/>
        <v>0</v>
      </c>
      <c r="AQ30" s="9">
        <f t="shared" si="53"/>
        <v>0</v>
      </c>
    </row>
    <row r="31">
      <c r="A31">
        <v>210</v>
      </c>
      <c r="B31" s="8" t="s">
        <v>77</v>
      </c>
      <c r="C31">
        <v>0</v>
      </c>
      <c r="D31">
        <v>0</v>
      </c>
      <c r="E31">
        <v>0</v>
      </c>
      <c r="F31" s="12">
        <f t="shared" si="25"/>
        <v>0</v>
      </c>
      <c r="G31" s="9">
        <f t="shared" si="26"/>
        <v>0</v>
      </c>
      <c r="H31" s="9">
        <f t="shared" si="27"/>
        <v>0</v>
      </c>
      <c r="I31" s="9">
        <f t="shared" si="28"/>
        <v>0</v>
      </c>
      <c r="J31" s="9">
        <f t="shared" si="29"/>
        <v>0</v>
      </c>
      <c r="K31">
        <v>0</v>
      </c>
      <c r="L31">
        <v>0</v>
      </c>
      <c r="M31">
        <v>0</v>
      </c>
      <c r="N31" s="12">
        <f t="shared" si="30"/>
        <v>0</v>
      </c>
      <c r="O31" s="9">
        <f t="shared" si="31"/>
        <v>0</v>
      </c>
      <c r="P31" s="9">
        <f t="shared" si="32"/>
        <v>0</v>
      </c>
      <c r="Q31" s="9">
        <f t="shared" si="33"/>
        <v>0</v>
      </c>
      <c r="R31" s="9">
        <f t="shared" si="34"/>
        <v>0</v>
      </c>
      <c r="S31">
        <v>0</v>
      </c>
      <c r="T31">
        <v>0</v>
      </c>
      <c r="U31">
        <v>0</v>
      </c>
      <c r="V31" s="12">
        <f t="shared" si="35"/>
        <v>0</v>
      </c>
      <c r="W31" s="9">
        <f t="shared" si="36"/>
        <v>0</v>
      </c>
      <c r="X31" s="9">
        <f t="shared" si="37"/>
        <v>0</v>
      </c>
      <c r="Y31" s="9">
        <f t="shared" si="38"/>
        <v>0</v>
      </c>
      <c r="Z31" s="9">
        <f t="shared" si="39"/>
        <v>0</v>
      </c>
      <c r="AA31">
        <v>0</v>
      </c>
      <c r="AB31">
        <v>1</v>
      </c>
      <c r="AC31">
        <v>0</v>
      </c>
      <c r="AD31" s="12">
        <f t="shared" si="40"/>
        <v>0</v>
      </c>
      <c r="AE31" s="9">
        <f t="shared" si="41"/>
        <v>1</v>
      </c>
      <c r="AF31" s="9">
        <f t="shared" si="42"/>
        <v>1</v>
      </c>
      <c r="AG31" s="9">
        <f t="shared" si="43"/>
        <v>0</v>
      </c>
      <c r="AH31" s="9">
        <f t="shared" si="44"/>
        <v>1</v>
      </c>
      <c r="AI31" s="15">
        <f t="shared" si="45"/>
        <v>0</v>
      </c>
      <c r="AJ31" s="15">
        <f t="shared" si="46"/>
        <v>1</v>
      </c>
      <c r="AK31" s="15">
        <f t="shared" si="47"/>
        <v>0</v>
      </c>
      <c r="AL31" s="12">
        <f t="shared" si="48"/>
        <v>0</v>
      </c>
      <c r="AM31" s="12">
        <f t="shared" si="49"/>
        <v>0</v>
      </c>
      <c r="AN31" s="9">
        <f t="shared" si="50"/>
        <v>1</v>
      </c>
      <c r="AO31" s="9">
        <f t="shared" si="51"/>
        <v>1</v>
      </c>
      <c r="AP31" s="9">
        <f t="shared" si="52"/>
        <v>0</v>
      </c>
      <c r="AQ31" s="9">
        <f t="shared" si="53"/>
        <v>1</v>
      </c>
    </row>
    <row r="32">
      <c r="A32">
        <v>219</v>
      </c>
      <c r="B32" s="8" t="s">
        <v>78</v>
      </c>
      <c r="C32">
        <v>1</v>
      </c>
      <c r="D32">
        <v>1</v>
      </c>
      <c r="E32">
        <v>1</v>
      </c>
      <c r="F32" s="12">
        <f t="shared" si="25"/>
        <v>1</v>
      </c>
      <c r="G32" s="9">
        <f t="shared" si="26"/>
        <v>3</v>
      </c>
      <c r="H32" s="9">
        <f t="shared" si="27"/>
        <v>2</v>
      </c>
      <c r="I32" s="9">
        <f t="shared" si="28"/>
        <v>2</v>
      </c>
      <c r="J32" s="9">
        <f t="shared" si="29"/>
        <v>2</v>
      </c>
      <c r="K32">
        <v>1</v>
      </c>
      <c r="L32">
        <v>1</v>
      </c>
      <c r="M32">
        <v>0</v>
      </c>
      <c r="N32" s="12">
        <f t="shared" si="30"/>
        <v>1</v>
      </c>
      <c r="O32" s="9">
        <f t="shared" si="31"/>
        <v>2</v>
      </c>
      <c r="P32" s="9">
        <f t="shared" si="32"/>
        <v>2</v>
      </c>
      <c r="Q32" s="9">
        <f t="shared" si="33"/>
        <v>1</v>
      </c>
      <c r="R32" s="9">
        <f t="shared" si="34"/>
        <v>1</v>
      </c>
      <c r="S32">
        <v>0</v>
      </c>
      <c r="T32">
        <v>0</v>
      </c>
      <c r="U32">
        <v>1</v>
      </c>
      <c r="V32" s="12">
        <f t="shared" si="35"/>
        <v>0</v>
      </c>
      <c r="W32" s="9">
        <f t="shared" si="36"/>
        <v>1</v>
      </c>
      <c r="X32" s="9">
        <f t="shared" si="37"/>
        <v>0</v>
      </c>
      <c r="Y32" s="9">
        <f t="shared" si="38"/>
        <v>1</v>
      </c>
      <c r="Z32" s="9">
        <f t="shared" si="39"/>
        <v>1</v>
      </c>
      <c r="AA32">
        <v>0</v>
      </c>
      <c r="AB32">
        <v>0</v>
      </c>
      <c r="AC32">
        <v>0</v>
      </c>
      <c r="AD32" s="12">
        <f t="shared" si="40"/>
        <v>0</v>
      </c>
      <c r="AE32" s="9">
        <f t="shared" si="41"/>
        <v>0</v>
      </c>
      <c r="AF32" s="9">
        <f t="shared" si="42"/>
        <v>0</v>
      </c>
      <c r="AG32" s="9">
        <f t="shared" si="43"/>
        <v>0</v>
      </c>
      <c r="AH32" s="9">
        <f t="shared" si="44"/>
        <v>0</v>
      </c>
      <c r="AI32" s="15">
        <f t="shared" si="45"/>
        <v>1</v>
      </c>
      <c r="AJ32" s="15">
        <f t="shared" si="46"/>
        <v>1</v>
      </c>
      <c r="AK32" s="15">
        <f t="shared" si="47"/>
        <v>1</v>
      </c>
      <c r="AL32" s="12">
        <f t="shared" si="48"/>
        <v>1</v>
      </c>
      <c r="AM32" s="12">
        <f t="shared" si="49"/>
        <v>1</v>
      </c>
      <c r="AN32" s="9">
        <f t="shared" si="50"/>
        <v>3</v>
      </c>
      <c r="AO32" s="9">
        <f t="shared" si="51"/>
        <v>2</v>
      </c>
      <c r="AP32" s="9">
        <f t="shared" si="52"/>
        <v>2</v>
      </c>
      <c r="AQ32" s="9">
        <f t="shared" si="53"/>
        <v>2</v>
      </c>
    </row>
    <row r="33">
      <c r="A33">
        <v>231</v>
      </c>
      <c r="B33" s="8" t="s">
        <v>81</v>
      </c>
      <c r="C33">
        <v>1</v>
      </c>
      <c r="D33">
        <v>1</v>
      </c>
      <c r="E33">
        <v>1</v>
      </c>
      <c r="F33" s="12">
        <f t="shared" si="25"/>
        <v>1</v>
      </c>
      <c r="G33" s="9">
        <f t="shared" si="26"/>
        <v>3</v>
      </c>
      <c r="H33" s="9">
        <f t="shared" si="27"/>
        <v>2</v>
      </c>
      <c r="I33" s="9">
        <f t="shared" si="28"/>
        <v>2</v>
      </c>
      <c r="J33" s="9">
        <f t="shared" si="29"/>
        <v>2</v>
      </c>
      <c r="K33">
        <v>0</v>
      </c>
      <c r="L33">
        <v>0</v>
      </c>
      <c r="M33">
        <v>0</v>
      </c>
      <c r="N33" s="12">
        <f t="shared" si="30"/>
        <v>0</v>
      </c>
      <c r="O33" s="9">
        <f t="shared" si="31"/>
        <v>0</v>
      </c>
      <c r="P33" s="9">
        <f t="shared" si="32"/>
        <v>0</v>
      </c>
      <c r="Q33" s="9">
        <f t="shared" si="33"/>
        <v>0</v>
      </c>
      <c r="R33" s="9">
        <f t="shared" si="34"/>
        <v>0</v>
      </c>
      <c r="S33">
        <v>0</v>
      </c>
      <c r="T33">
        <v>0</v>
      </c>
      <c r="U33">
        <v>0</v>
      </c>
      <c r="V33" s="12">
        <f t="shared" si="35"/>
        <v>0</v>
      </c>
      <c r="W33" s="9">
        <f t="shared" si="36"/>
        <v>0</v>
      </c>
      <c r="X33" s="9">
        <f t="shared" si="37"/>
        <v>0</v>
      </c>
      <c r="Y33" s="9">
        <f t="shared" si="38"/>
        <v>0</v>
      </c>
      <c r="Z33" s="9">
        <f t="shared" si="39"/>
        <v>0</v>
      </c>
      <c r="AA33">
        <v>0</v>
      </c>
      <c r="AB33">
        <v>0</v>
      </c>
      <c r="AC33">
        <v>0</v>
      </c>
      <c r="AD33" s="12">
        <f t="shared" si="40"/>
        <v>0</v>
      </c>
      <c r="AE33" s="9">
        <f t="shared" si="41"/>
        <v>0</v>
      </c>
      <c r="AF33" s="9">
        <f t="shared" si="42"/>
        <v>0</v>
      </c>
      <c r="AG33" s="9">
        <f t="shared" si="43"/>
        <v>0</v>
      </c>
      <c r="AH33" s="9">
        <f t="shared" si="44"/>
        <v>0</v>
      </c>
      <c r="AI33" s="15">
        <f t="shared" si="45"/>
        <v>1</v>
      </c>
      <c r="AJ33" s="15">
        <f t="shared" si="46"/>
        <v>1</v>
      </c>
      <c r="AK33" s="15">
        <f t="shared" si="47"/>
        <v>1</v>
      </c>
      <c r="AL33" s="12">
        <f t="shared" si="48"/>
        <v>1</v>
      </c>
      <c r="AM33" s="12">
        <f t="shared" si="49"/>
        <v>1</v>
      </c>
      <c r="AN33" s="9">
        <f t="shared" si="50"/>
        <v>3</v>
      </c>
      <c r="AO33" s="9">
        <f t="shared" si="51"/>
        <v>2</v>
      </c>
      <c r="AP33" s="9">
        <f t="shared" si="52"/>
        <v>2</v>
      </c>
      <c r="AQ33" s="9">
        <f t="shared" si="53"/>
        <v>2</v>
      </c>
    </row>
    <row r="34">
      <c r="A34">
        <v>232</v>
      </c>
      <c r="B34" s="8" t="s">
        <v>85</v>
      </c>
      <c r="C34">
        <v>0</v>
      </c>
      <c r="D34">
        <v>0</v>
      </c>
      <c r="E34">
        <v>0</v>
      </c>
      <c r="F34" s="12">
        <f t="shared" ref="F34:F97" si="54">IF(SUM(C34,D34,E34)&gt;=2,1,0)</f>
        <v>0</v>
      </c>
      <c r="G34" s="9">
        <f t="shared" si="26"/>
        <v>0</v>
      </c>
      <c r="H34" s="9">
        <f t="shared" ref="H34:H97" si="55">C34+D34</f>
        <v>0</v>
      </c>
      <c r="I34" s="9">
        <f t="shared" ref="I34:I97" si="56">C34+E34</f>
        <v>0</v>
      </c>
      <c r="J34" s="9">
        <f t="shared" ref="J34:J97" si="57">D34+E34</f>
        <v>0</v>
      </c>
      <c r="K34">
        <v>0</v>
      </c>
      <c r="L34">
        <v>0</v>
      </c>
      <c r="M34">
        <v>0</v>
      </c>
      <c r="N34" s="12">
        <f t="shared" ref="N34:N97" si="58">IF(SUM(K34,L34,M34)&gt;=2,1,0)</f>
        <v>0</v>
      </c>
      <c r="O34" s="9">
        <f t="shared" si="31"/>
        <v>0</v>
      </c>
      <c r="P34" s="9">
        <f t="shared" ref="P34:P97" si="59">K34+L34</f>
        <v>0</v>
      </c>
      <c r="Q34" s="9">
        <f t="shared" ref="Q34:Q97" si="60">K34+M34</f>
        <v>0</v>
      </c>
      <c r="R34" s="9">
        <f t="shared" ref="R34:R97" si="61">L34+M34</f>
        <v>0</v>
      </c>
      <c r="S34">
        <v>0</v>
      </c>
      <c r="T34">
        <v>0</v>
      </c>
      <c r="U34">
        <v>0</v>
      </c>
      <c r="V34" s="12">
        <f t="shared" ref="V34:V97" si="62">IF(SUM(S34,T34,U34)&gt;=2,1,0)</f>
        <v>0</v>
      </c>
      <c r="W34" s="9">
        <f t="shared" si="36"/>
        <v>0</v>
      </c>
      <c r="X34" s="9">
        <f t="shared" ref="X34:X97" si="63">S34+T34</f>
        <v>0</v>
      </c>
      <c r="Y34" s="9">
        <f t="shared" ref="Y34:Y97" si="64">S34+U34</f>
        <v>0</v>
      </c>
      <c r="Z34" s="9">
        <f t="shared" ref="Z34:Z97" si="65">T34+U34</f>
        <v>0</v>
      </c>
      <c r="AA34">
        <v>1</v>
      </c>
      <c r="AB34">
        <v>1</v>
      </c>
      <c r="AC34">
        <v>1</v>
      </c>
      <c r="AD34" s="12">
        <f t="shared" ref="AD34:AD97" si="66">IF(SUM(AA34,AB34,AC34)&gt;=2,1,0)</f>
        <v>1</v>
      </c>
      <c r="AE34" s="9">
        <f t="shared" ref="AE34:AE97" si="67">AA34+AB34+AC34</f>
        <v>3</v>
      </c>
      <c r="AF34" s="9">
        <f t="shared" ref="AF34:AF97" si="68">AA34+AB34</f>
        <v>2</v>
      </c>
      <c r="AG34" s="9">
        <f t="shared" ref="AG34:AG97" si="69">AA34+AC34</f>
        <v>2</v>
      </c>
      <c r="AH34" s="9">
        <f t="shared" ref="AH34:AH97" si="70">AB34+AC34</f>
        <v>2</v>
      </c>
      <c r="AI34" s="15">
        <f t="shared" ref="AI34:AI97" si="71">IF(SUM(C34+K34+S34+AA34)&gt;=1,1,0)</f>
        <v>1</v>
      </c>
      <c r="AJ34" s="15">
        <f t="shared" ref="AJ34:AJ97" si="72">IF(SUM(D34+L34+T34+AB34)&gt;=1,1,0)</f>
        <v>1</v>
      </c>
      <c r="AK34" s="15">
        <f t="shared" ref="AK34:AK97" si="73">IF(SUM(E34+M34+U34+AC34)&gt;=1,1,0)</f>
        <v>1</v>
      </c>
      <c r="AL34" s="12">
        <f t="shared" ref="AL34:AL97" si="74">IF(SUM(AI34,AJ34,AK34)&gt;=2,1,0)</f>
        <v>1</v>
      </c>
      <c r="AM34" s="12">
        <f t="shared" ref="AM34:AM97" si="75">IF(SUM(F34,N34,V34,AD34)&gt;=1,1,0)</f>
        <v>1</v>
      </c>
      <c r="AN34" s="9">
        <f t="shared" ref="AN34:AN97" si="76">AI34+AJ34+AK34</f>
        <v>3</v>
      </c>
      <c r="AO34" s="9">
        <f t="shared" ref="AO34:AO97" si="77">AI34+AJ34</f>
        <v>2</v>
      </c>
      <c r="AP34" s="9">
        <f t="shared" ref="AP34:AP97" si="78">AI34+AK34</f>
        <v>2</v>
      </c>
      <c r="AQ34" s="9">
        <f t="shared" ref="AQ34:AQ97" si="79">AJ34+AK34</f>
        <v>2</v>
      </c>
    </row>
    <row r="35">
      <c r="A35">
        <v>234</v>
      </c>
      <c r="B35" s="8" t="s">
        <v>87</v>
      </c>
      <c r="C35">
        <v>0</v>
      </c>
      <c r="D35">
        <v>0</v>
      </c>
      <c r="E35">
        <v>1</v>
      </c>
      <c r="F35" s="12">
        <f t="shared" si="54"/>
        <v>0</v>
      </c>
      <c r="G35" s="9">
        <f t="shared" si="26"/>
        <v>1</v>
      </c>
      <c r="H35" s="9">
        <f t="shared" si="55"/>
        <v>0</v>
      </c>
      <c r="I35" s="9">
        <f t="shared" si="56"/>
        <v>1</v>
      </c>
      <c r="J35" s="9">
        <f t="shared" si="57"/>
        <v>1</v>
      </c>
      <c r="K35">
        <v>0</v>
      </c>
      <c r="L35">
        <v>0</v>
      </c>
      <c r="M35">
        <v>0</v>
      </c>
      <c r="N35" s="12">
        <f t="shared" si="58"/>
        <v>0</v>
      </c>
      <c r="O35" s="9">
        <f t="shared" si="31"/>
        <v>0</v>
      </c>
      <c r="P35" s="9">
        <f t="shared" si="59"/>
        <v>0</v>
      </c>
      <c r="Q35" s="9">
        <f t="shared" si="60"/>
        <v>0</v>
      </c>
      <c r="R35" s="9">
        <f t="shared" si="61"/>
        <v>0</v>
      </c>
      <c r="S35">
        <v>0</v>
      </c>
      <c r="T35">
        <v>0</v>
      </c>
      <c r="U35">
        <v>0</v>
      </c>
      <c r="V35" s="12">
        <f t="shared" si="62"/>
        <v>0</v>
      </c>
      <c r="W35" s="9">
        <f t="shared" si="36"/>
        <v>0</v>
      </c>
      <c r="X35" s="9">
        <f t="shared" si="63"/>
        <v>0</v>
      </c>
      <c r="Y35" s="9">
        <f t="shared" si="64"/>
        <v>0</v>
      </c>
      <c r="Z35" s="9">
        <f t="shared" si="65"/>
        <v>0</v>
      </c>
      <c r="AA35">
        <v>0</v>
      </c>
      <c r="AB35">
        <v>1</v>
      </c>
      <c r="AC35">
        <v>1</v>
      </c>
      <c r="AD35" s="12">
        <f t="shared" si="66"/>
        <v>1</v>
      </c>
      <c r="AE35" s="9">
        <f t="shared" si="67"/>
        <v>2</v>
      </c>
      <c r="AF35" s="9">
        <f t="shared" si="68"/>
        <v>1</v>
      </c>
      <c r="AG35" s="9">
        <f t="shared" si="69"/>
        <v>1</v>
      </c>
      <c r="AH35" s="9">
        <f t="shared" si="70"/>
        <v>2</v>
      </c>
      <c r="AI35" s="15">
        <f t="shared" si="71"/>
        <v>0</v>
      </c>
      <c r="AJ35" s="15">
        <f t="shared" si="72"/>
        <v>1</v>
      </c>
      <c r="AK35" s="15">
        <f t="shared" si="73"/>
        <v>1</v>
      </c>
      <c r="AL35" s="12">
        <f t="shared" si="74"/>
        <v>1</v>
      </c>
      <c r="AM35" s="12">
        <f t="shared" si="75"/>
        <v>1</v>
      </c>
      <c r="AN35" s="9">
        <f t="shared" si="76"/>
        <v>2</v>
      </c>
      <c r="AO35" s="9">
        <f t="shared" si="77"/>
        <v>1</v>
      </c>
      <c r="AP35" s="9">
        <f t="shared" si="78"/>
        <v>1</v>
      </c>
      <c r="AQ35" s="9">
        <f t="shared" si="79"/>
        <v>2</v>
      </c>
    </row>
    <row r="36">
      <c r="A36">
        <v>258</v>
      </c>
      <c r="B36" s="8" t="s">
        <v>88</v>
      </c>
      <c r="C36">
        <v>0</v>
      </c>
      <c r="D36">
        <v>0</v>
      </c>
      <c r="E36">
        <v>0</v>
      </c>
      <c r="F36" s="12">
        <f t="shared" si="54"/>
        <v>0</v>
      </c>
      <c r="G36" s="9">
        <f t="shared" si="26"/>
        <v>0</v>
      </c>
      <c r="H36" s="9">
        <f t="shared" si="55"/>
        <v>0</v>
      </c>
      <c r="I36" s="9">
        <f t="shared" si="56"/>
        <v>0</v>
      </c>
      <c r="J36" s="9">
        <f t="shared" si="57"/>
        <v>0</v>
      </c>
      <c r="K36">
        <v>0</v>
      </c>
      <c r="L36">
        <v>0</v>
      </c>
      <c r="M36">
        <v>0</v>
      </c>
      <c r="N36" s="12">
        <f t="shared" si="58"/>
        <v>0</v>
      </c>
      <c r="O36" s="9">
        <f t="shared" si="31"/>
        <v>0</v>
      </c>
      <c r="P36" s="9">
        <f t="shared" si="59"/>
        <v>0</v>
      </c>
      <c r="Q36" s="9">
        <f t="shared" si="60"/>
        <v>0</v>
      </c>
      <c r="R36" s="9">
        <f t="shared" si="61"/>
        <v>0</v>
      </c>
      <c r="S36">
        <v>1</v>
      </c>
      <c r="T36">
        <v>1</v>
      </c>
      <c r="U36">
        <v>1</v>
      </c>
      <c r="V36" s="12">
        <f t="shared" si="62"/>
        <v>1</v>
      </c>
      <c r="W36" s="9">
        <f t="shared" si="36"/>
        <v>3</v>
      </c>
      <c r="X36" s="9">
        <f t="shared" si="63"/>
        <v>2</v>
      </c>
      <c r="Y36" s="9">
        <f t="shared" si="64"/>
        <v>2</v>
      </c>
      <c r="Z36" s="9">
        <f t="shared" si="65"/>
        <v>2</v>
      </c>
      <c r="AA36">
        <v>0</v>
      </c>
      <c r="AB36">
        <v>0</v>
      </c>
      <c r="AC36">
        <v>0</v>
      </c>
      <c r="AD36" s="12">
        <f t="shared" si="66"/>
        <v>0</v>
      </c>
      <c r="AE36" s="9">
        <f t="shared" si="67"/>
        <v>0</v>
      </c>
      <c r="AF36" s="9">
        <f t="shared" si="68"/>
        <v>0</v>
      </c>
      <c r="AG36" s="9">
        <f t="shared" si="69"/>
        <v>0</v>
      </c>
      <c r="AH36" s="9">
        <f t="shared" si="70"/>
        <v>0</v>
      </c>
      <c r="AI36" s="15">
        <f t="shared" si="71"/>
        <v>1</v>
      </c>
      <c r="AJ36" s="15">
        <f t="shared" si="72"/>
        <v>1</v>
      </c>
      <c r="AK36" s="15">
        <f t="shared" si="73"/>
        <v>1</v>
      </c>
      <c r="AL36" s="12">
        <f t="shared" si="74"/>
        <v>1</v>
      </c>
      <c r="AM36" s="12">
        <f t="shared" si="75"/>
        <v>1</v>
      </c>
      <c r="AN36" s="9">
        <f t="shared" si="76"/>
        <v>3</v>
      </c>
      <c r="AO36" s="9">
        <f t="shared" si="77"/>
        <v>2</v>
      </c>
      <c r="AP36" s="9">
        <f t="shared" si="78"/>
        <v>2</v>
      </c>
      <c r="AQ36" s="9">
        <f t="shared" si="79"/>
        <v>2</v>
      </c>
    </row>
    <row r="37">
      <c r="A37">
        <v>264</v>
      </c>
      <c r="B37" s="8" t="s">
        <v>90</v>
      </c>
      <c r="C37">
        <v>0</v>
      </c>
      <c r="D37">
        <v>0</v>
      </c>
      <c r="E37">
        <v>0</v>
      </c>
      <c r="F37" s="12">
        <f t="shared" si="54"/>
        <v>0</v>
      </c>
      <c r="G37" s="9">
        <f t="shared" si="26"/>
        <v>0</v>
      </c>
      <c r="H37" s="9">
        <f t="shared" si="55"/>
        <v>0</v>
      </c>
      <c r="I37" s="9">
        <f t="shared" si="56"/>
        <v>0</v>
      </c>
      <c r="J37" s="9">
        <f t="shared" si="57"/>
        <v>0</v>
      </c>
      <c r="K37">
        <v>0</v>
      </c>
      <c r="L37">
        <v>0</v>
      </c>
      <c r="M37">
        <v>0</v>
      </c>
      <c r="N37" s="12">
        <f t="shared" si="58"/>
        <v>0</v>
      </c>
      <c r="O37" s="9">
        <f t="shared" si="31"/>
        <v>0</v>
      </c>
      <c r="P37" s="9">
        <f t="shared" si="59"/>
        <v>0</v>
      </c>
      <c r="Q37" s="9">
        <f t="shared" si="60"/>
        <v>0</v>
      </c>
      <c r="R37" s="9">
        <f t="shared" si="61"/>
        <v>0</v>
      </c>
      <c r="S37">
        <v>0</v>
      </c>
      <c r="T37">
        <v>0</v>
      </c>
      <c r="U37">
        <v>0</v>
      </c>
      <c r="V37" s="12">
        <f t="shared" si="62"/>
        <v>0</v>
      </c>
      <c r="W37" s="9">
        <f t="shared" si="36"/>
        <v>0</v>
      </c>
      <c r="X37" s="9">
        <f t="shared" si="63"/>
        <v>0</v>
      </c>
      <c r="Y37" s="9">
        <f t="shared" si="64"/>
        <v>0</v>
      </c>
      <c r="Z37" s="9">
        <f t="shared" si="65"/>
        <v>0</v>
      </c>
      <c r="AA37">
        <v>0</v>
      </c>
      <c r="AB37">
        <v>0</v>
      </c>
      <c r="AC37">
        <v>0</v>
      </c>
      <c r="AD37" s="12">
        <f t="shared" si="66"/>
        <v>0</v>
      </c>
      <c r="AE37" s="9">
        <f t="shared" si="67"/>
        <v>0</v>
      </c>
      <c r="AF37" s="9">
        <f t="shared" si="68"/>
        <v>0</v>
      </c>
      <c r="AG37" s="9">
        <f t="shared" si="69"/>
        <v>0</v>
      </c>
      <c r="AH37" s="9">
        <f t="shared" si="70"/>
        <v>0</v>
      </c>
      <c r="AI37" s="15">
        <f t="shared" si="71"/>
        <v>0</v>
      </c>
      <c r="AJ37" s="15">
        <f t="shared" si="72"/>
        <v>0</v>
      </c>
      <c r="AK37" s="15">
        <f t="shared" si="73"/>
        <v>0</v>
      </c>
      <c r="AL37" s="12">
        <f t="shared" si="74"/>
        <v>0</v>
      </c>
      <c r="AM37" s="12">
        <f t="shared" si="75"/>
        <v>0</v>
      </c>
      <c r="AN37" s="9">
        <f t="shared" si="76"/>
        <v>0</v>
      </c>
      <c r="AO37" s="9">
        <f t="shared" si="77"/>
        <v>0</v>
      </c>
      <c r="AP37" s="9">
        <f t="shared" si="78"/>
        <v>0</v>
      </c>
      <c r="AQ37" s="9">
        <f t="shared" si="79"/>
        <v>0</v>
      </c>
    </row>
    <row r="38">
      <c r="A38">
        <v>265</v>
      </c>
      <c r="B38" s="8" t="s">
        <v>92</v>
      </c>
      <c r="C38">
        <v>0</v>
      </c>
      <c r="D38">
        <v>0</v>
      </c>
      <c r="E38">
        <v>0</v>
      </c>
      <c r="F38" s="12">
        <f t="shared" si="54"/>
        <v>0</v>
      </c>
      <c r="G38" s="9">
        <f t="shared" si="26"/>
        <v>0</v>
      </c>
      <c r="H38" s="9">
        <f t="shared" si="55"/>
        <v>0</v>
      </c>
      <c r="I38" s="9">
        <f t="shared" si="56"/>
        <v>0</v>
      </c>
      <c r="J38" s="9">
        <f t="shared" si="57"/>
        <v>0</v>
      </c>
      <c r="K38">
        <v>0</v>
      </c>
      <c r="L38">
        <v>0</v>
      </c>
      <c r="M38">
        <v>0</v>
      </c>
      <c r="N38" s="12">
        <f t="shared" si="58"/>
        <v>0</v>
      </c>
      <c r="O38" s="9">
        <f t="shared" si="31"/>
        <v>0</v>
      </c>
      <c r="P38" s="9">
        <f t="shared" si="59"/>
        <v>0</v>
      </c>
      <c r="Q38" s="9">
        <f t="shared" si="60"/>
        <v>0</v>
      </c>
      <c r="R38" s="9">
        <f t="shared" si="61"/>
        <v>0</v>
      </c>
      <c r="S38">
        <v>0</v>
      </c>
      <c r="T38">
        <v>1</v>
      </c>
      <c r="U38">
        <v>0</v>
      </c>
      <c r="V38" s="12">
        <f t="shared" si="62"/>
        <v>0</v>
      </c>
      <c r="W38" s="9">
        <f t="shared" si="36"/>
        <v>1</v>
      </c>
      <c r="X38" s="9">
        <f t="shared" si="63"/>
        <v>1</v>
      </c>
      <c r="Y38" s="9">
        <f t="shared" si="64"/>
        <v>0</v>
      </c>
      <c r="Z38" s="9">
        <f t="shared" si="65"/>
        <v>1</v>
      </c>
      <c r="AA38">
        <v>0</v>
      </c>
      <c r="AB38">
        <v>0</v>
      </c>
      <c r="AC38">
        <v>0</v>
      </c>
      <c r="AD38" s="12">
        <f t="shared" si="66"/>
        <v>0</v>
      </c>
      <c r="AE38" s="9">
        <f t="shared" si="67"/>
        <v>0</v>
      </c>
      <c r="AF38" s="9">
        <f t="shared" si="68"/>
        <v>0</v>
      </c>
      <c r="AG38" s="9">
        <f t="shared" si="69"/>
        <v>0</v>
      </c>
      <c r="AH38" s="9">
        <f t="shared" si="70"/>
        <v>0</v>
      </c>
      <c r="AI38" s="15">
        <f t="shared" si="71"/>
        <v>0</v>
      </c>
      <c r="AJ38" s="15">
        <f t="shared" si="72"/>
        <v>1</v>
      </c>
      <c r="AK38" s="15">
        <f t="shared" si="73"/>
        <v>0</v>
      </c>
      <c r="AL38" s="12">
        <f t="shared" si="74"/>
        <v>0</v>
      </c>
      <c r="AM38" s="12">
        <f t="shared" si="75"/>
        <v>0</v>
      </c>
      <c r="AN38" s="9">
        <f t="shared" si="76"/>
        <v>1</v>
      </c>
      <c r="AO38" s="9">
        <f t="shared" si="77"/>
        <v>1</v>
      </c>
      <c r="AP38" s="9">
        <f t="shared" si="78"/>
        <v>0</v>
      </c>
      <c r="AQ38" s="9">
        <f t="shared" si="79"/>
        <v>1</v>
      </c>
    </row>
    <row r="39">
      <c r="A39">
        <v>268</v>
      </c>
      <c r="B39" s="8" t="s">
        <v>94</v>
      </c>
      <c r="C39">
        <v>0</v>
      </c>
      <c r="D39">
        <v>0</v>
      </c>
      <c r="E39">
        <v>0</v>
      </c>
      <c r="F39" s="12">
        <f t="shared" si="54"/>
        <v>0</v>
      </c>
      <c r="G39" s="9">
        <f t="shared" si="26"/>
        <v>0</v>
      </c>
      <c r="H39" s="9">
        <f t="shared" si="55"/>
        <v>0</v>
      </c>
      <c r="I39" s="9">
        <f t="shared" si="56"/>
        <v>0</v>
      </c>
      <c r="J39" s="9">
        <f t="shared" si="57"/>
        <v>0</v>
      </c>
      <c r="K39">
        <v>0</v>
      </c>
      <c r="L39">
        <v>0</v>
      </c>
      <c r="M39">
        <v>0</v>
      </c>
      <c r="N39" s="12">
        <f t="shared" si="58"/>
        <v>0</v>
      </c>
      <c r="O39" s="9">
        <f t="shared" si="31"/>
        <v>0</v>
      </c>
      <c r="P39" s="9">
        <f t="shared" si="59"/>
        <v>0</v>
      </c>
      <c r="Q39" s="9">
        <f t="shared" si="60"/>
        <v>0</v>
      </c>
      <c r="R39" s="9">
        <f t="shared" si="61"/>
        <v>0</v>
      </c>
      <c r="S39">
        <v>0</v>
      </c>
      <c r="T39">
        <v>0</v>
      </c>
      <c r="U39">
        <v>0</v>
      </c>
      <c r="V39" s="12">
        <f t="shared" si="62"/>
        <v>0</v>
      </c>
      <c r="W39" s="9">
        <f t="shared" si="36"/>
        <v>0</v>
      </c>
      <c r="X39" s="9">
        <f t="shared" si="63"/>
        <v>0</v>
      </c>
      <c r="Y39" s="9">
        <f t="shared" si="64"/>
        <v>0</v>
      </c>
      <c r="Z39" s="9">
        <f t="shared" si="65"/>
        <v>0</v>
      </c>
      <c r="AA39">
        <v>0</v>
      </c>
      <c r="AB39">
        <v>0</v>
      </c>
      <c r="AC39">
        <v>0</v>
      </c>
      <c r="AD39" s="12">
        <f t="shared" si="66"/>
        <v>0</v>
      </c>
      <c r="AE39" s="9">
        <f t="shared" si="67"/>
        <v>0</v>
      </c>
      <c r="AF39" s="9">
        <f t="shared" si="68"/>
        <v>0</v>
      </c>
      <c r="AG39" s="9">
        <f t="shared" si="69"/>
        <v>0</v>
      </c>
      <c r="AH39" s="9">
        <f t="shared" si="70"/>
        <v>0</v>
      </c>
      <c r="AI39" s="15">
        <f t="shared" si="71"/>
        <v>0</v>
      </c>
      <c r="AJ39" s="15">
        <f t="shared" si="72"/>
        <v>0</v>
      </c>
      <c r="AK39" s="15">
        <f t="shared" si="73"/>
        <v>0</v>
      </c>
      <c r="AL39" s="12">
        <f t="shared" si="74"/>
        <v>0</v>
      </c>
      <c r="AM39" s="12">
        <f t="shared" si="75"/>
        <v>0</v>
      </c>
      <c r="AN39" s="9">
        <f t="shared" si="76"/>
        <v>0</v>
      </c>
      <c r="AO39" s="9">
        <f t="shared" si="77"/>
        <v>0</v>
      </c>
      <c r="AP39" s="9">
        <f t="shared" si="78"/>
        <v>0</v>
      </c>
      <c r="AQ39" s="9">
        <f t="shared" si="79"/>
        <v>0</v>
      </c>
    </row>
    <row r="40" ht="29.100000000000001">
      <c r="A40">
        <v>271</v>
      </c>
      <c r="B40" s="8" t="s">
        <v>95</v>
      </c>
      <c r="C40">
        <v>0</v>
      </c>
      <c r="D40">
        <v>0</v>
      </c>
      <c r="E40">
        <v>0</v>
      </c>
      <c r="F40" s="12">
        <f t="shared" si="54"/>
        <v>0</v>
      </c>
      <c r="G40" s="9">
        <f t="shared" si="26"/>
        <v>0</v>
      </c>
      <c r="H40" s="9">
        <f t="shared" si="55"/>
        <v>0</v>
      </c>
      <c r="I40" s="9">
        <f t="shared" si="56"/>
        <v>0</v>
      </c>
      <c r="J40" s="9">
        <f t="shared" si="57"/>
        <v>0</v>
      </c>
      <c r="K40">
        <v>0</v>
      </c>
      <c r="L40">
        <v>0</v>
      </c>
      <c r="M40">
        <v>0</v>
      </c>
      <c r="N40" s="12">
        <f t="shared" si="58"/>
        <v>0</v>
      </c>
      <c r="O40" s="9">
        <f t="shared" si="31"/>
        <v>0</v>
      </c>
      <c r="P40" s="9">
        <f t="shared" si="59"/>
        <v>0</v>
      </c>
      <c r="Q40" s="9">
        <f t="shared" si="60"/>
        <v>0</v>
      </c>
      <c r="R40" s="9">
        <f t="shared" si="61"/>
        <v>0</v>
      </c>
      <c r="S40">
        <v>0</v>
      </c>
      <c r="T40">
        <v>0</v>
      </c>
      <c r="U40">
        <v>0</v>
      </c>
      <c r="V40" s="12">
        <f t="shared" si="62"/>
        <v>0</v>
      </c>
      <c r="W40" s="9">
        <f t="shared" si="36"/>
        <v>0</v>
      </c>
      <c r="X40" s="9">
        <f t="shared" si="63"/>
        <v>0</v>
      </c>
      <c r="Y40" s="9">
        <f t="shared" si="64"/>
        <v>0</v>
      </c>
      <c r="Z40" s="9">
        <f t="shared" si="65"/>
        <v>0</v>
      </c>
      <c r="AA40">
        <v>1</v>
      </c>
      <c r="AB40">
        <v>1</v>
      </c>
      <c r="AC40">
        <v>1</v>
      </c>
      <c r="AD40" s="12">
        <f t="shared" si="66"/>
        <v>1</v>
      </c>
      <c r="AE40" s="9">
        <f t="shared" si="67"/>
        <v>3</v>
      </c>
      <c r="AF40" s="9">
        <f t="shared" si="68"/>
        <v>2</v>
      </c>
      <c r="AG40" s="9">
        <f t="shared" si="69"/>
        <v>2</v>
      </c>
      <c r="AH40" s="9">
        <f t="shared" si="70"/>
        <v>2</v>
      </c>
      <c r="AI40" s="15">
        <f t="shared" si="71"/>
        <v>1</v>
      </c>
      <c r="AJ40" s="15">
        <f t="shared" si="72"/>
        <v>1</v>
      </c>
      <c r="AK40" s="15">
        <f t="shared" si="73"/>
        <v>1</v>
      </c>
      <c r="AL40" s="12">
        <f t="shared" si="74"/>
        <v>1</v>
      </c>
      <c r="AM40" s="12">
        <f t="shared" si="75"/>
        <v>1</v>
      </c>
      <c r="AN40" s="9">
        <f t="shared" si="76"/>
        <v>3</v>
      </c>
      <c r="AO40" s="9">
        <f t="shared" si="77"/>
        <v>2</v>
      </c>
      <c r="AP40" s="9">
        <f t="shared" si="78"/>
        <v>2</v>
      </c>
      <c r="AQ40" s="9">
        <f t="shared" si="79"/>
        <v>2</v>
      </c>
    </row>
    <row r="41">
      <c r="A41">
        <v>274</v>
      </c>
      <c r="B41" s="8" t="s">
        <v>98</v>
      </c>
      <c r="C41">
        <v>0</v>
      </c>
      <c r="D41">
        <v>1</v>
      </c>
      <c r="E41">
        <v>0</v>
      </c>
      <c r="F41" s="12">
        <f t="shared" si="54"/>
        <v>0</v>
      </c>
      <c r="G41" s="9">
        <f t="shared" si="26"/>
        <v>1</v>
      </c>
      <c r="H41" s="9">
        <f t="shared" si="55"/>
        <v>1</v>
      </c>
      <c r="I41" s="9">
        <f t="shared" si="56"/>
        <v>0</v>
      </c>
      <c r="J41" s="9">
        <f t="shared" si="57"/>
        <v>1</v>
      </c>
      <c r="K41">
        <v>0</v>
      </c>
      <c r="L41">
        <v>0</v>
      </c>
      <c r="M41">
        <v>0</v>
      </c>
      <c r="N41" s="12">
        <f t="shared" si="58"/>
        <v>0</v>
      </c>
      <c r="O41" s="9">
        <f t="shared" si="31"/>
        <v>0</v>
      </c>
      <c r="P41" s="9">
        <f t="shared" si="59"/>
        <v>0</v>
      </c>
      <c r="Q41" s="9">
        <f t="shared" si="60"/>
        <v>0</v>
      </c>
      <c r="R41" s="9">
        <f t="shared" si="61"/>
        <v>0</v>
      </c>
      <c r="S41">
        <v>1</v>
      </c>
      <c r="T41">
        <v>0</v>
      </c>
      <c r="U41">
        <v>1</v>
      </c>
      <c r="V41" s="12">
        <f t="shared" si="62"/>
        <v>1</v>
      </c>
      <c r="W41" s="9">
        <f t="shared" si="36"/>
        <v>2</v>
      </c>
      <c r="X41" s="9">
        <f t="shared" si="63"/>
        <v>1</v>
      </c>
      <c r="Y41" s="9">
        <f t="shared" si="64"/>
        <v>2</v>
      </c>
      <c r="Z41" s="9">
        <f t="shared" si="65"/>
        <v>1</v>
      </c>
      <c r="AA41">
        <v>1</v>
      </c>
      <c r="AB41">
        <v>1</v>
      </c>
      <c r="AC41">
        <v>1</v>
      </c>
      <c r="AD41" s="12">
        <f t="shared" si="66"/>
        <v>1</v>
      </c>
      <c r="AE41" s="9">
        <f t="shared" si="67"/>
        <v>3</v>
      </c>
      <c r="AF41" s="9">
        <f t="shared" si="68"/>
        <v>2</v>
      </c>
      <c r="AG41" s="9">
        <f t="shared" si="69"/>
        <v>2</v>
      </c>
      <c r="AH41" s="9">
        <f t="shared" si="70"/>
        <v>2</v>
      </c>
      <c r="AI41" s="15">
        <f t="shared" si="71"/>
        <v>1</v>
      </c>
      <c r="AJ41" s="15">
        <f t="shared" si="72"/>
        <v>1</v>
      </c>
      <c r="AK41" s="15">
        <f t="shared" si="73"/>
        <v>1</v>
      </c>
      <c r="AL41" s="12">
        <f t="shared" si="74"/>
        <v>1</v>
      </c>
      <c r="AM41" s="12">
        <f t="shared" si="75"/>
        <v>1</v>
      </c>
      <c r="AN41" s="9">
        <f t="shared" si="76"/>
        <v>3</v>
      </c>
      <c r="AO41" s="9">
        <f t="shared" si="77"/>
        <v>2</v>
      </c>
      <c r="AP41" s="9">
        <f t="shared" si="78"/>
        <v>2</v>
      </c>
      <c r="AQ41" s="9">
        <f t="shared" si="79"/>
        <v>2</v>
      </c>
    </row>
    <row r="42">
      <c r="A42">
        <v>278</v>
      </c>
      <c r="B42" s="8" t="s">
        <v>101</v>
      </c>
      <c r="C42">
        <v>1</v>
      </c>
      <c r="D42">
        <v>1</v>
      </c>
      <c r="E42">
        <v>1</v>
      </c>
      <c r="F42" s="12">
        <f t="shared" si="54"/>
        <v>1</v>
      </c>
      <c r="G42" s="9">
        <f t="shared" si="26"/>
        <v>3</v>
      </c>
      <c r="H42" s="9">
        <f t="shared" si="55"/>
        <v>2</v>
      </c>
      <c r="I42" s="9">
        <f t="shared" si="56"/>
        <v>2</v>
      </c>
      <c r="J42" s="9">
        <f t="shared" si="57"/>
        <v>2</v>
      </c>
      <c r="K42">
        <v>1</v>
      </c>
      <c r="L42">
        <v>0</v>
      </c>
      <c r="M42">
        <v>0</v>
      </c>
      <c r="N42" s="12">
        <f t="shared" si="58"/>
        <v>0</v>
      </c>
      <c r="O42" s="9">
        <f t="shared" si="31"/>
        <v>1</v>
      </c>
      <c r="P42" s="9">
        <f t="shared" si="59"/>
        <v>1</v>
      </c>
      <c r="Q42" s="9">
        <f t="shared" si="60"/>
        <v>1</v>
      </c>
      <c r="R42" s="9">
        <f t="shared" si="61"/>
        <v>0</v>
      </c>
      <c r="S42">
        <v>0</v>
      </c>
      <c r="T42">
        <v>0</v>
      </c>
      <c r="U42">
        <v>1</v>
      </c>
      <c r="V42" s="12">
        <f t="shared" si="62"/>
        <v>0</v>
      </c>
      <c r="W42" s="9">
        <f t="shared" si="36"/>
        <v>1</v>
      </c>
      <c r="X42" s="9">
        <f t="shared" si="63"/>
        <v>0</v>
      </c>
      <c r="Y42" s="9">
        <f t="shared" si="64"/>
        <v>1</v>
      </c>
      <c r="Z42" s="9">
        <f t="shared" si="65"/>
        <v>1</v>
      </c>
      <c r="AA42">
        <v>0</v>
      </c>
      <c r="AB42">
        <v>0</v>
      </c>
      <c r="AC42">
        <v>0</v>
      </c>
      <c r="AD42" s="12">
        <f t="shared" si="66"/>
        <v>0</v>
      </c>
      <c r="AE42" s="9">
        <f t="shared" si="67"/>
        <v>0</v>
      </c>
      <c r="AF42" s="9">
        <f t="shared" si="68"/>
        <v>0</v>
      </c>
      <c r="AG42" s="9">
        <f t="shared" si="69"/>
        <v>0</v>
      </c>
      <c r="AH42" s="9">
        <f t="shared" si="70"/>
        <v>0</v>
      </c>
      <c r="AI42" s="15">
        <f t="shared" si="71"/>
        <v>1</v>
      </c>
      <c r="AJ42" s="15">
        <f t="shared" si="72"/>
        <v>1</v>
      </c>
      <c r="AK42" s="15">
        <f t="shared" si="73"/>
        <v>1</v>
      </c>
      <c r="AL42" s="12">
        <f t="shared" si="74"/>
        <v>1</v>
      </c>
      <c r="AM42" s="12">
        <f t="shared" si="75"/>
        <v>1</v>
      </c>
      <c r="AN42" s="9">
        <f t="shared" si="76"/>
        <v>3</v>
      </c>
      <c r="AO42" s="9">
        <f t="shared" si="77"/>
        <v>2</v>
      </c>
      <c r="AP42" s="9">
        <f t="shared" si="78"/>
        <v>2</v>
      </c>
      <c r="AQ42" s="9">
        <f t="shared" si="79"/>
        <v>2</v>
      </c>
    </row>
    <row r="43" ht="29.100000000000001">
      <c r="A43">
        <v>284</v>
      </c>
      <c r="B43" s="8" t="s">
        <v>104</v>
      </c>
      <c r="C43">
        <v>0</v>
      </c>
      <c r="D43">
        <v>0</v>
      </c>
      <c r="E43">
        <v>0</v>
      </c>
      <c r="F43" s="12">
        <f t="shared" si="54"/>
        <v>0</v>
      </c>
      <c r="G43" s="9">
        <f t="shared" si="26"/>
        <v>0</v>
      </c>
      <c r="H43" s="9">
        <f t="shared" si="55"/>
        <v>0</v>
      </c>
      <c r="I43" s="9">
        <f t="shared" si="56"/>
        <v>0</v>
      </c>
      <c r="J43" s="9">
        <f t="shared" si="57"/>
        <v>0</v>
      </c>
      <c r="K43">
        <v>1</v>
      </c>
      <c r="L43">
        <v>0</v>
      </c>
      <c r="M43">
        <v>0</v>
      </c>
      <c r="N43" s="12">
        <f t="shared" si="58"/>
        <v>0</v>
      </c>
      <c r="O43" s="9">
        <f t="shared" si="31"/>
        <v>1</v>
      </c>
      <c r="P43" s="9">
        <f t="shared" si="59"/>
        <v>1</v>
      </c>
      <c r="Q43" s="9">
        <f t="shared" si="60"/>
        <v>1</v>
      </c>
      <c r="R43" s="9">
        <f t="shared" si="61"/>
        <v>0</v>
      </c>
      <c r="S43">
        <v>0</v>
      </c>
      <c r="T43">
        <v>0</v>
      </c>
      <c r="U43">
        <v>0</v>
      </c>
      <c r="V43" s="12">
        <f t="shared" si="62"/>
        <v>0</v>
      </c>
      <c r="W43" s="9">
        <f t="shared" si="36"/>
        <v>0</v>
      </c>
      <c r="X43" s="9">
        <f t="shared" si="63"/>
        <v>0</v>
      </c>
      <c r="Y43" s="9">
        <f t="shared" si="64"/>
        <v>0</v>
      </c>
      <c r="Z43" s="9">
        <f t="shared" si="65"/>
        <v>0</v>
      </c>
      <c r="AA43">
        <v>0</v>
      </c>
      <c r="AB43">
        <v>0</v>
      </c>
      <c r="AC43">
        <v>0</v>
      </c>
      <c r="AD43" s="12">
        <f t="shared" si="66"/>
        <v>0</v>
      </c>
      <c r="AE43" s="9">
        <f t="shared" si="67"/>
        <v>0</v>
      </c>
      <c r="AF43" s="9">
        <f t="shared" si="68"/>
        <v>0</v>
      </c>
      <c r="AG43" s="9">
        <f t="shared" si="69"/>
        <v>0</v>
      </c>
      <c r="AH43" s="9">
        <f t="shared" si="70"/>
        <v>0</v>
      </c>
      <c r="AI43" s="15">
        <f t="shared" si="71"/>
        <v>1</v>
      </c>
      <c r="AJ43" s="15">
        <f t="shared" si="72"/>
        <v>0</v>
      </c>
      <c r="AK43" s="15">
        <f t="shared" si="73"/>
        <v>0</v>
      </c>
      <c r="AL43" s="12">
        <f t="shared" si="74"/>
        <v>0</v>
      </c>
      <c r="AM43" s="12">
        <f t="shared" si="75"/>
        <v>0</v>
      </c>
      <c r="AN43" s="9">
        <f t="shared" si="76"/>
        <v>1</v>
      </c>
      <c r="AO43" s="9">
        <f t="shared" si="77"/>
        <v>1</v>
      </c>
      <c r="AP43" s="9">
        <f t="shared" si="78"/>
        <v>1</v>
      </c>
      <c r="AQ43" s="9">
        <f t="shared" si="79"/>
        <v>0</v>
      </c>
    </row>
    <row r="44">
      <c r="A44">
        <v>295</v>
      </c>
      <c r="B44" s="8" t="s">
        <v>105</v>
      </c>
      <c r="C44">
        <v>0</v>
      </c>
      <c r="D44">
        <v>0</v>
      </c>
      <c r="E44">
        <v>0</v>
      </c>
      <c r="F44" s="12">
        <f t="shared" si="54"/>
        <v>0</v>
      </c>
      <c r="G44" s="9">
        <f t="shared" si="26"/>
        <v>0</v>
      </c>
      <c r="H44" s="9">
        <f t="shared" si="55"/>
        <v>0</v>
      </c>
      <c r="I44" s="9">
        <f t="shared" si="56"/>
        <v>0</v>
      </c>
      <c r="J44" s="9">
        <f t="shared" si="57"/>
        <v>0</v>
      </c>
      <c r="K44">
        <v>0</v>
      </c>
      <c r="L44">
        <v>0</v>
      </c>
      <c r="M44">
        <v>0</v>
      </c>
      <c r="N44" s="12">
        <f t="shared" si="58"/>
        <v>0</v>
      </c>
      <c r="O44" s="9">
        <f t="shared" si="31"/>
        <v>0</v>
      </c>
      <c r="P44" s="9">
        <f t="shared" si="59"/>
        <v>0</v>
      </c>
      <c r="Q44" s="9">
        <f t="shared" si="60"/>
        <v>0</v>
      </c>
      <c r="R44" s="9">
        <f t="shared" si="61"/>
        <v>0</v>
      </c>
      <c r="S44">
        <v>0</v>
      </c>
      <c r="T44">
        <v>0</v>
      </c>
      <c r="U44">
        <v>0</v>
      </c>
      <c r="V44" s="12">
        <f t="shared" si="62"/>
        <v>0</v>
      </c>
      <c r="W44" s="9">
        <f t="shared" si="36"/>
        <v>0</v>
      </c>
      <c r="X44" s="9">
        <f t="shared" si="63"/>
        <v>0</v>
      </c>
      <c r="Y44" s="9">
        <f t="shared" si="64"/>
        <v>0</v>
      </c>
      <c r="Z44" s="9">
        <f t="shared" si="65"/>
        <v>0</v>
      </c>
      <c r="AA44">
        <v>0</v>
      </c>
      <c r="AB44">
        <v>0</v>
      </c>
      <c r="AC44">
        <v>0</v>
      </c>
      <c r="AD44" s="12">
        <f t="shared" si="66"/>
        <v>0</v>
      </c>
      <c r="AE44" s="9">
        <f t="shared" si="67"/>
        <v>0</v>
      </c>
      <c r="AF44" s="9">
        <f t="shared" si="68"/>
        <v>0</v>
      </c>
      <c r="AG44" s="9">
        <f t="shared" si="69"/>
        <v>0</v>
      </c>
      <c r="AH44" s="9">
        <f t="shared" si="70"/>
        <v>0</v>
      </c>
      <c r="AI44" s="15">
        <f t="shared" si="71"/>
        <v>0</v>
      </c>
      <c r="AJ44" s="15">
        <f t="shared" si="72"/>
        <v>0</v>
      </c>
      <c r="AK44" s="15">
        <f t="shared" si="73"/>
        <v>0</v>
      </c>
      <c r="AL44" s="12">
        <f t="shared" si="74"/>
        <v>0</v>
      </c>
      <c r="AM44" s="12">
        <f t="shared" si="75"/>
        <v>0</v>
      </c>
      <c r="AN44" s="9">
        <f t="shared" si="76"/>
        <v>0</v>
      </c>
      <c r="AO44" s="9">
        <f t="shared" si="77"/>
        <v>0</v>
      </c>
      <c r="AP44" s="9">
        <f t="shared" si="78"/>
        <v>0</v>
      </c>
      <c r="AQ44" s="9">
        <f t="shared" si="79"/>
        <v>0</v>
      </c>
    </row>
    <row r="45" ht="29.100000000000001">
      <c r="A45">
        <v>298</v>
      </c>
      <c r="B45" s="8" t="s">
        <v>106</v>
      </c>
      <c r="C45">
        <v>0</v>
      </c>
      <c r="D45">
        <v>0</v>
      </c>
      <c r="E45">
        <v>0</v>
      </c>
      <c r="F45" s="12">
        <f t="shared" si="54"/>
        <v>0</v>
      </c>
      <c r="G45" s="9">
        <f t="shared" si="26"/>
        <v>0</v>
      </c>
      <c r="H45" s="9">
        <f t="shared" si="55"/>
        <v>0</v>
      </c>
      <c r="I45" s="9">
        <f t="shared" si="56"/>
        <v>0</v>
      </c>
      <c r="J45" s="9">
        <f t="shared" si="57"/>
        <v>0</v>
      </c>
      <c r="K45">
        <v>1</v>
      </c>
      <c r="L45">
        <v>1</v>
      </c>
      <c r="M45">
        <v>0</v>
      </c>
      <c r="N45" s="12">
        <f t="shared" si="58"/>
        <v>1</v>
      </c>
      <c r="O45" s="9">
        <f t="shared" si="31"/>
        <v>2</v>
      </c>
      <c r="P45" s="9">
        <f t="shared" si="59"/>
        <v>2</v>
      </c>
      <c r="Q45" s="9">
        <f t="shared" si="60"/>
        <v>1</v>
      </c>
      <c r="R45" s="9">
        <f t="shared" si="61"/>
        <v>1</v>
      </c>
      <c r="S45">
        <v>0</v>
      </c>
      <c r="T45">
        <v>0</v>
      </c>
      <c r="U45">
        <v>0</v>
      </c>
      <c r="V45" s="12">
        <f t="shared" si="62"/>
        <v>0</v>
      </c>
      <c r="W45" s="9">
        <f t="shared" si="36"/>
        <v>0</v>
      </c>
      <c r="X45" s="9">
        <f t="shared" si="63"/>
        <v>0</v>
      </c>
      <c r="Y45" s="9">
        <f t="shared" si="64"/>
        <v>0</v>
      </c>
      <c r="Z45" s="9">
        <f t="shared" si="65"/>
        <v>0</v>
      </c>
      <c r="AA45">
        <v>0</v>
      </c>
      <c r="AB45">
        <v>1</v>
      </c>
      <c r="AC45">
        <v>1</v>
      </c>
      <c r="AD45" s="12">
        <f t="shared" si="66"/>
        <v>1</v>
      </c>
      <c r="AE45" s="9">
        <f t="shared" si="67"/>
        <v>2</v>
      </c>
      <c r="AF45" s="9">
        <f t="shared" si="68"/>
        <v>1</v>
      </c>
      <c r="AG45" s="9">
        <f t="shared" si="69"/>
        <v>1</v>
      </c>
      <c r="AH45" s="9">
        <f t="shared" si="70"/>
        <v>2</v>
      </c>
      <c r="AI45" s="15">
        <f t="shared" si="71"/>
        <v>1</v>
      </c>
      <c r="AJ45" s="15">
        <f t="shared" si="72"/>
        <v>1</v>
      </c>
      <c r="AK45" s="15">
        <f t="shared" si="73"/>
        <v>1</v>
      </c>
      <c r="AL45" s="12">
        <f t="shared" si="74"/>
        <v>1</v>
      </c>
      <c r="AM45" s="12">
        <f t="shared" si="75"/>
        <v>1</v>
      </c>
      <c r="AN45" s="9">
        <f t="shared" si="76"/>
        <v>3</v>
      </c>
      <c r="AO45" s="9">
        <f t="shared" si="77"/>
        <v>2</v>
      </c>
      <c r="AP45" s="9">
        <f t="shared" si="78"/>
        <v>2</v>
      </c>
      <c r="AQ45" s="9">
        <f t="shared" si="79"/>
        <v>2</v>
      </c>
    </row>
    <row r="46">
      <c r="A46">
        <v>319</v>
      </c>
      <c r="B46" s="8" t="s">
        <v>108</v>
      </c>
      <c r="C46">
        <v>0</v>
      </c>
      <c r="D46">
        <v>0</v>
      </c>
      <c r="E46">
        <v>0</v>
      </c>
      <c r="F46" s="12">
        <f t="shared" si="54"/>
        <v>0</v>
      </c>
      <c r="G46" s="9">
        <f t="shared" si="26"/>
        <v>0</v>
      </c>
      <c r="H46" s="9">
        <f t="shared" si="55"/>
        <v>0</v>
      </c>
      <c r="I46" s="9">
        <f t="shared" si="56"/>
        <v>0</v>
      </c>
      <c r="J46" s="9">
        <f t="shared" si="57"/>
        <v>0</v>
      </c>
      <c r="K46">
        <v>0</v>
      </c>
      <c r="L46">
        <v>0</v>
      </c>
      <c r="M46">
        <v>0</v>
      </c>
      <c r="N46" s="12">
        <f t="shared" si="58"/>
        <v>0</v>
      </c>
      <c r="O46" s="9">
        <f t="shared" si="31"/>
        <v>0</v>
      </c>
      <c r="P46" s="9">
        <f t="shared" si="59"/>
        <v>0</v>
      </c>
      <c r="Q46" s="9">
        <f t="shared" si="60"/>
        <v>0</v>
      </c>
      <c r="R46" s="9">
        <f t="shared" si="61"/>
        <v>0</v>
      </c>
      <c r="S46">
        <v>0</v>
      </c>
      <c r="T46">
        <v>0</v>
      </c>
      <c r="U46">
        <v>0</v>
      </c>
      <c r="V46" s="12">
        <f t="shared" si="62"/>
        <v>0</v>
      </c>
      <c r="W46" s="9">
        <f t="shared" si="36"/>
        <v>0</v>
      </c>
      <c r="X46" s="9">
        <f t="shared" si="63"/>
        <v>0</v>
      </c>
      <c r="Y46" s="9">
        <f t="shared" si="64"/>
        <v>0</v>
      </c>
      <c r="Z46" s="9">
        <f t="shared" si="65"/>
        <v>0</v>
      </c>
      <c r="AA46">
        <v>0</v>
      </c>
      <c r="AB46">
        <v>0</v>
      </c>
      <c r="AC46">
        <v>0</v>
      </c>
      <c r="AD46" s="12">
        <f t="shared" si="66"/>
        <v>0</v>
      </c>
      <c r="AE46" s="9">
        <f t="shared" si="67"/>
        <v>0</v>
      </c>
      <c r="AF46" s="9">
        <f t="shared" si="68"/>
        <v>0</v>
      </c>
      <c r="AG46" s="9">
        <f t="shared" si="69"/>
        <v>0</v>
      </c>
      <c r="AH46" s="9">
        <f t="shared" si="70"/>
        <v>0</v>
      </c>
      <c r="AI46" s="15">
        <f t="shared" si="71"/>
        <v>0</v>
      </c>
      <c r="AJ46" s="15">
        <f t="shared" si="72"/>
        <v>0</v>
      </c>
      <c r="AK46" s="15">
        <f t="shared" si="73"/>
        <v>0</v>
      </c>
      <c r="AL46" s="12">
        <f t="shared" si="74"/>
        <v>0</v>
      </c>
      <c r="AM46" s="12">
        <f t="shared" si="75"/>
        <v>0</v>
      </c>
      <c r="AN46" s="9">
        <f t="shared" si="76"/>
        <v>0</v>
      </c>
      <c r="AO46" s="9">
        <f t="shared" si="77"/>
        <v>0</v>
      </c>
      <c r="AP46" s="9">
        <f t="shared" si="78"/>
        <v>0</v>
      </c>
      <c r="AQ46" s="9">
        <f t="shared" si="79"/>
        <v>0</v>
      </c>
    </row>
    <row r="47">
      <c r="A47">
        <v>323</v>
      </c>
      <c r="B47" s="8" t="s">
        <v>109</v>
      </c>
      <c r="C47">
        <v>0</v>
      </c>
      <c r="D47">
        <v>0</v>
      </c>
      <c r="E47">
        <v>0</v>
      </c>
      <c r="F47" s="12">
        <f t="shared" si="54"/>
        <v>0</v>
      </c>
      <c r="G47" s="9">
        <f t="shared" si="26"/>
        <v>0</v>
      </c>
      <c r="H47" s="9">
        <f t="shared" si="55"/>
        <v>0</v>
      </c>
      <c r="I47" s="9">
        <f t="shared" si="56"/>
        <v>0</v>
      </c>
      <c r="J47" s="9">
        <f t="shared" si="57"/>
        <v>0</v>
      </c>
      <c r="K47">
        <v>0</v>
      </c>
      <c r="L47">
        <v>0</v>
      </c>
      <c r="M47">
        <v>0</v>
      </c>
      <c r="N47" s="12">
        <f t="shared" si="58"/>
        <v>0</v>
      </c>
      <c r="O47" s="9">
        <f t="shared" si="31"/>
        <v>0</v>
      </c>
      <c r="P47" s="9">
        <f t="shared" si="59"/>
        <v>0</v>
      </c>
      <c r="Q47" s="9">
        <f t="shared" si="60"/>
        <v>0</v>
      </c>
      <c r="R47" s="9">
        <f t="shared" si="61"/>
        <v>0</v>
      </c>
      <c r="S47">
        <v>0</v>
      </c>
      <c r="T47">
        <v>0</v>
      </c>
      <c r="U47">
        <v>0</v>
      </c>
      <c r="V47" s="12">
        <f t="shared" si="62"/>
        <v>0</v>
      </c>
      <c r="W47" s="9">
        <f t="shared" si="36"/>
        <v>0</v>
      </c>
      <c r="X47" s="9">
        <f t="shared" si="63"/>
        <v>0</v>
      </c>
      <c r="Y47" s="9">
        <f t="shared" si="64"/>
        <v>0</v>
      </c>
      <c r="Z47" s="9">
        <f t="shared" si="65"/>
        <v>0</v>
      </c>
      <c r="AA47">
        <v>0</v>
      </c>
      <c r="AB47">
        <v>1</v>
      </c>
      <c r="AC47">
        <v>0</v>
      </c>
      <c r="AD47" s="12">
        <f t="shared" si="66"/>
        <v>0</v>
      </c>
      <c r="AE47" s="9">
        <f t="shared" si="67"/>
        <v>1</v>
      </c>
      <c r="AF47" s="9">
        <f t="shared" si="68"/>
        <v>1</v>
      </c>
      <c r="AG47" s="9">
        <f t="shared" si="69"/>
        <v>0</v>
      </c>
      <c r="AH47" s="9">
        <f t="shared" si="70"/>
        <v>1</v>
      </c>
      <c r="AI47" s="15">
        <f t="shared" si="71"/>
        <v>0</v>
      </c>
      <c r="AJ47" s="15">
        <f t="shared" si="72"/>
        <v>1</v>
      </c>
      <c r="AK47" s="15">
        <f t="shared" si="73"/>
        <v>0</v>
      </c>
      <c r="AL47" s="12">
        <f t="shared" si="74"/>
        <v>0</v>
      </c>
      <c r="AM47" s="12">
        <f t="shared" si="75"/>
        <v>0</v>
      </c>
      <c r="AN47" s="9">
        <f t="shared" si="76"/>
        <v>1</v>
      </c>
      <c r="AO47" s="9">
        <f t="shared" si="77"/>
        <v>1</v>
      </c>
      <c r="AP47" s="9">
        <f t="shared" si="78"/>
        <v>0</v>
      </c>
      <c r="AQ47" s="9">
        <f t="shared" si="79"/>
        <v>1</v>
      </c>
    </row>
    <row r="48">
      <c r="A48">
        <v>325</v>
      </c>
      <c r="B48" s="8" t="s">
        <v>111</v>
      </c>
      <c r="C48">
        <v>0</v>
      </c>
      <c r="D48">
        <v>0</v>
      </c>
      <c r="E48">
        <v>0</v>
      </c>
      <c r="F48" s="12">
        <f t="shared" si="54"/>
        <v>0</v>
      </c>
      <c r="G48" s="9">
        <f t="shared" si="26"/>
        <v>0</v>
      </c>
      <c r="H48" s="9">
        <f t="shared" si="55"/>
        <v>0</v>
      </c>
      <c r="I48" s="9">
        <f t="shared" si="56"/>
        <v>0</v>
      </c>
      <c r="J48" s="9">
        <f t="shared" si="57"/>
        <v>0</v>
      </c>
      <c r="K48">
        <v>0</v>
      </c>
      <c r="L48">
        <v>0</v>
      </c>
      <c r="M48">
        <v>0</v>
      </c>
      <c r="N48" s="12">
        <f t="shared" si="58"/>
        <v>0</v>
      </c>
      <c r="O48" s="9">
        <f t="shared" si="31"/>
        <v>0</v>
      </c>
      <c r="P48" s="9">
        <f t="shared" si="59"/>
        <v>0</v>
      </c>
      <c r="Q48" s="9">
        <f t="shared" si="60"/>
        <v>0</v>
      </c>
      <c r="R48" s="9">
        <f t="shared" si="61"/>
        <v>0</v>
      </c>
      <c r="S48">
        <v>0</v>
      </c>
      <c r="T48">
        <v>0</v>
      </c>
      <c r="U48">
        <v>0</v>
      </c>
      <c r="V48" s="12">
        <f t="shared" si="62"/>
        <v>0</v>
      </c>
      <c r="W48" s="9">
        <f t="shared" si="36"/>
        <v>0</v>
      </c>
      <c r="X48" s="9">
        <f t="shared" si="63"/>
        <v>0</v>
      </c>
      <c r="Y48" s="9">
        <f t="shared" si="64"/>
        <v>0</v>
      </c>
      <c r="Z48" s="9">
        <f t="shared" si="65"/>
        <v>0</v>
      </c>
      <c r="AA48">
        <v>0</v>
      </c>
      <c r="AB48">
        <v>1</v>
      </c>
      <c r="AC48">
        <v>0</v>
      </c>
      <c r="AD48" s="12">
        <f t="shared" si="66"/>
        <v>0</v>
      </c>
      <c r="AE48" s="9">
        <f t="shared" si="67"/>
        <v>1</v>
      </c>
      <c r="AF48" s="9">
        <f t="shared" si="68"/>
        <v>1</v>
      </c>
      <c r="AG48" s="9">
        <f t="shared" si="69"/>
        <v>0</v>
      </c>
      <c r="AH48" s="9">
        <f t="shared" si="70"/>
        <v>1</v>
      </c>
      <c r="AI48" s="15">
        <f t="shared" si="71"/>
        <v>0</v>
      </c>
      <c r="AJ48" s="15">
        <f t="shared" si="72"/>
        <v>1</v>
      </c>
      <c r="AK48" s="15">
        <f t="shared" si="73"/>
        <v>0</v>
      </c>
      <c r="AL48" s="12">
        <f t="shared" si="74"/>
        <v>0</v>
      </c>
      <c r="AM48" s="12">
        <f t="shared" si="75"/>
        <v>0</v>
      </c>
      <c r="AN48" s="9">
        <f t="shared" si="76"/>
        <v>1</v>
      </c>
      <c r="AO48" s="9">
        <f t="shared" si="77"/>
        <v>1</v>
      </c>
      <c r="AP48" s="9">
        <f t="shared" si="78"/>
        <v>0</v>
      </c>
      <c r="AQ48" s="9">
        <f t="shared" si="79"/>
        <v>1</v>
      </c>
    </row>
    <row r="49">
      <c r="A49">
        <v>337</v>
      </c>
      <c r="B49" s="8" t="s">
        <v>112</v>
      </c>
      <c r="C49">
        <v>0</v>
      </c>
      <c r="D49">
        <v>1</v>
      </c>
      <c r="E49">
        <v>1</v>
      </c>
      <c r="F49" s="12">
        <f t="shared" si="54"/>
        <v>1</v>
      </c>
      <c r="G49" s="9">
        <f t="shared" si="26"/>
        <v>2</v>
      </c>
      <c r="H49" s="9">
        <f t="shared" si="55"/>
        <v>1</v>
      </c>
      <c r="I49" s="9">
        <f t="shared" si="56"/>
        <v>1</v>
      </c>
      <c r="J49" s="9">
        <f t="shared" si="57"/>
        <v>2</v>
      </c>
      <c r="K49">
        <v>0</v>
      </c>
      <c r="L49">
        <v>0</v>
      </c>
      <c r="M49">
        <v>0</v>
      </c>
      <c r="N49" s="12">
        <f t="shared" si="58"/>
        <v>0</v>
      </c>
      <c r="O49" s="9">
        <f t="shared" si="31"/>
        <v>0</v>
      </c>
      <c r="P49" s="9">
        <f t="shared" si="59"/>
        <v>0</v>
      </c>
      <c r="Q49" s="9">
        <f t="shared" si="60"/>
        <v>0</v>
      </c>
      <c r="R49" s="9">
        <f t="shared" si="61"/>
        <v>0</v>
      </c>
      <c r="S49">
        <v>1</v>
      </c>
      <c r="T49">
        <v>0</v>
      </c>
      <c r="U49">
        <v>1</v>
      </c>
      <c r="V49" s="12">
        <f t="shared" si="62"/>
        <v>1</v>
      </c>
      <c r="W49" s="9">
        <f t="shared" si="36"/>
        <v>2</v>
      </c>
      <c r="X49" s="9">
        <f t="shared" si="63"/>
        <v>1</v>
      </c>
      <c r="Y49" s="9">
        <f t="shared" si="64"/>
        <v>2</v>
      </c>
      <c r="Z49" s="9">
        <f t="shared" si="65"/>
        <v>1</v>
      </c>
      <c r="AA49">
        <v>0</v>
      </c>
      <c r="AB49">
        <v>1</v>
      </c>
      <c r="AC49">
        <v>0</v>
      </c>
      <c r="AD49" s="12">
        <f t="shared" si="66"/>
        <v>0</v>
      </c>
      <c r="AE49" s="9">
        <f t="shared" si="67"/>
        <v>1</v>
      </c>
      <c r="AF49" s="9">
        <f t="shared" si="68"/>
        <v>1</v>
      </c>
      <c r="AG49" s="9">
        <f t="shared" si="69"/>
        <v>0</v>
      </c>
      <c r="AH49" s="9">
        <f t="shared" si="70"/>
        <v>1</v>
      </c>
      <c r="AI49" s="15">
        <f t="shared" si="71"/>
        <v>1</v>
      </c>
      <c r="AJ49" s="15">
        <f t="shared" si="72"/>
        <v>1</v>
      </c>
      <c r="AK49" s="15">
        <f t="shared" si="73"/>
        <v>1</v>
      </c>
      <c r="AL49" s="12">
        <f t="shared" si="74"/>
        <v>1</v>
      </c>
      <c r="AM49" s="12">
        <f t="shared" si="75"/>
        <v>1</v>
      </c>
      <c r="AN49" s="9">
        <f t="shared" si="76"/>
        <v>3</v>
      </c>
      <c r="AO49" s="9">
        <f t="shared" si="77"/>
        <v>2</v>
      </c>
      <c r="AP49" s="9">
        <f t="shared" si="78"/>
        <v>2</v>
      </c>
      <c r="AQ49" s="9">
        <f t="shared" si="79"/>
        <v>2</v>
      </c>
    </row>
    <row r="50" ht="29.100000000000001">
      <c r="A50">
        <v>343</v>
      </c>
      <c r="B50" s="8" t="s">
        <v>114</v>
      </c>
      <c r="C50">
        <v>0</v>
      </c>
      <c r="D50">
        <v>1</v>
      </c>
      <c r="E50">
        <v>0</v>
      </c>
      <c r="F50" s="12">
        <f t="shared" si="54"/>
        <v>0</v>
      </c>
      <c r="G50" s="9">
        <f t="shared" si="26"/>
        <v>1</v>
      </c>
      <c r="H50" s="9">
        <f t="shared" si="55"/>
        <v>1</v>
      </c>
      <c r="I50" s="9">
        <f t="shared" si="56"/>
        <v>0</v>
      </c>
      <c r="J50" s="9">
        <f t="shared" si="57"/>
        <v>1</v>
      </c>
      <c r="K50">
        <v>0</v>
      </c>
      <c r="L50">
        <v>0</v>
      </c>
      <c r="M50">
        <v>0</v>
      </c>
      <c r="N50" s="12">
        <f t="shared" si="58"/>
        <v>0</v>
      </c>
      <c r="O50" s="9">
        <f t="shared" si="31"/>
        <v>0</v>
      </c>
      <c r="P50" s="9">
        <f t="shared" si="59"/>
        <v>0</v>
      </c>
      <c r="Q50" s="9">
        <f t="shared" si="60"/>
        <v>0</v>
      </c>
      <c r="R50" s="9">
        <f t="shared" si="61"/>
        <v>0</v>
      </c>
      <c r="S50">
        <v>0</v>
      </c>
      <c r="T50">
        <v>0</v>
      </c>
      <c r="U50">
        <v>0</v>
      </c>
      <c r="V50" s="12">
        <f t="shared" si="62"/>
        <v>0</v>
      </c>
      <c r="W50" s="9">
        <f t="shared" si="36"/>
        <v>0</v>
      </c>
      <c r="X50" s="9">
        <f t="shared" si="63"/>
        <v>0</v>
      </c>
      <c r="Y50" s="9">
        <f t="shared" si="64"/>
        <v>0</v>
      </c>
      <c r="Z50" s="9">
        <f t="shared" si="65"/>
        <v>0</v>
      </c>
      <c r="AA50">
        <v>0</v>
      </c>
      <c r="AB50">
        <v>0</v>
      </c>
      <c r="AC50">
        <v>0</v>
      </c>
      <c r="AD50" s="12">
        <f t="shared" si="66"/>
        <v>0</v>
      </c>
      <c r="AE50" s="9">
        <f t="shared" si="67"/>
        <v>0</v>
      </c>
      <c r="AF50" s="9">
        <f t="shared" si="68"/>
        <v>0</v>
      </c>
      <c r="AG50" s="9">
        <f t="shared" si="69"/>
        <v>0</v>
      </c>
      <c r="AH50" s="9">
        <f t="shared" si="70"/>
        <v>0</v>
      </c>
      <c r="AI50" s="15">
        <f t="shared" si="71"/>
        <v>0</v>
      </c>
      <c r="AJ50" s="15">
        <f t="shared" si="72"/>
        <v>1</v>
      </c>
      <c r="AK50" s="15">
        <f t="shared" si="73"/>
        <v>0</v>
      </c>
      <c r="AL50" s="12">
        <f t="shared" si="74"/>
        <v>0</v>
      </c>
      <c r="AM50" s="12">
        <f t="shared" si="75"/>
        <v>0</v>
      </c>
      <c r="AN50" s="9">
        <f t="shared" si="76"/>
        <v>1</v>
      </c>
      <c r="AO50" s="9">
        <f t="shared" si="77"/>
        <v>1</v>
      </c>
      <c r="AP50" s="9">
        <f t="shared" si="78"/>
        <v>0</v>
      </c>
      <c r="AQ50" s="9">
        <f t="shared" si="79"/>
        <v>1</v>
      </c>
    </row>
    <row r="51">
      <c r="A51">
        <v>352</v>
      </c>
      <c r="B51" s="8" t="s">
        <v>118</v>
      </c>
      <c r="C51">
        <v>0</v>
      </c>
      <c r="D51">
        <v>0</v>
      </c>
      <c r="E51">
        <v>0</v>
      </c>
      <c r="F51" s="12">
        <f t="shared" si="54"/>
        <v>0</v>
      </c>
      <c r="G51" s="9">
        <f t="shared" si="26"/>
        <v>0</v>
      </c>
      <c r="H51" s="9">
        <f t="shared" si="55"/>
        <v>0</v>
      </c>
      <c r="I51" s="9">
        <f t="shared" si="56"/>
        <v>0</v>
      </c>
      <c r="J51" s="9">
        <f t="shared" si="57"/>
        <v>0</v>
      </c>
      <c r="K51">
        <v>1</v>
      </c>
      <c r="L51">
        <v>1</v>
      </c>
      <c r="M51">
        <v>0</v>
      </c>
      <c r="N51" s="12">
        <f t="shared" si="58"/>
        <v>1</v>
      </c>
      <c r="O51" s="9">
        <f t="shared" si="31"/>
        <v>2</v>
      </c>
      <c r="P51" s="9">
        <f t="shared" si="59"/>
        <v>2</v>
      </c>
      <c r="Q51" s="9">
        <f t="shared" si="60"/>
        <v>1</v>
      </c>
      <c r="R51" s="9">
        <f t="shared" si="61"/>
        <v>1</v>
      </c>
      <c r="S51">
        <v>0</v>
      </c>
      <c r="T51">
        <v>0</v>
      </c>
      <c r="U51">
        <v>0</v>
      </c>
      <c r="V51" s="12">
        <f t="shared" si="62"/>
        <v>0</v>
      </c>
      <c r="W51" s="9">
        <f t="shared" si="36"/>
        <v>0</v>
      </c>
      <c r="X51" s="9">
        <f t="shared" si="63"/>
        <v>0</v>
      </c>
      <c r="Y51" s="9">
        <f t="shared" si="64"/>
        <v>0</v>
      </c>
      <c r="Z51" s="9">
        <f t="shared" si="65"/>
        <v>0</v>
      </c>
      <c r="AA51">
        <v>0</v>
      </c>
      <c r="AB51">
        <v>0</v>
      </c>
      <c r="AC51">
        <v>0</v>
      </c>
      <c r="AD51" s="12">
        <f t="shared" si="66"/>
        <v>0</v>
      </c>
      <c r="AE51" s="9">
        <f t="shared" si="67"/>
        <v>0</v>
      </c>
      <c r="AF51" s="9">
        <f t="shared" si="68"/>
        <v>0</v>
      </c>
      <c r="AG51" s="9">
        <f t="shared" si="69"/>
        <v>0</v>
      </c>
      <c r="AH51" s="9">
        <f t="shared" si="70"/>
        <v>0</v>
      </c>
      <c r="AI51" s="15">
        <f t="shared" si="71"/>
        <v>1</v>
      </c>
      <c r="AJ51" s="15">
        <f t="shared" si="72"/>
        <v>1</v>
      </c>
      <c r="AK51" s="15">
        <f t="shared" si="73"/>
        <v>0</v>
      </c>
      <c r="AL51" s="12">
        <f t="shared" si="74"/>
        <v>1</v>
      </c>
      <c r="AM51" s="12">
        <f t="shared" si="75"/>
        <v>1</v>
      </c>
      <c r="AN51" s="9">
        <f t="shared" si="76"/>
        <v>2</v>
      </c>
      <c r="AO51" s="9">
        <f t="shared" si="77"/>
        <v>2</v>
      </c>
      <c r="AP51" s="9">
        <f t="shared" si="78"/>
        <v>1</v>
      </c>
      <c r="AQ51" s="9">
        <f t="shared" si="79"/>
        <v>1</v>
      </c>
    </row>
    <row r="52">
      <c r="A52">
        <v>358</v>
      </c>
      <c r="B52" s="1" t="s">
        <v>120</v>
      </c>
      <c r="C52">
        <v>0</v>
      </c>
      <c r="D52">
        <v>0</v>
      </c>
      <c r="E52">
        <v>0</v>
      </c>
      <c r="F52" s="12">
        <f t="shared" si="54"/>
        <v>0</v>
      </c>
      <c r="G52" s="9">
        <f t="shared" si="26"/>
        <v>0</v>
      </c>
      <c r="H52" s="9">
        <f t="shared" si="55"/>
        <v>0</v>
      </c>
      <c r="I52" s="9">
        <f t="shared" si="56"/>
        <v>0</v>
      </c>
      <c r="J52" s="9">
        <f t="shared" si="57"/>
        <v>0</v>
      </c>
      <c r="K52">
        <v>0</v>
      </c>
      <c r="L52">
        <v>0</v>
      </c>
      <c r="M52">
        <v>0</v>
      </c>
      <c r="N52" s="12">
        <f t="shared" si="58"/>
        <v>0</v>
      </c>
      <c r="O52" s="9">
        <f t="shared" si="31"/>
        <v>0</v>
      </c>
      <c r="P52" s="9">
        <f t="shared" si="59"/>
        <v>0</v>
      </c>
      <c r="Q52" s="9">
        <f t="shared" si="60"/>
        <v>0</v>
      </c>
      <c r="R52" s="9">
        <f t="shared" si="61"/>
        <v>0</v>
      </c>
      <c r="S52">
        <v>0</v>
      </c>
      <c r="T52">
        <v>0</v>
      </c>
      <c r="U52">
        <v>0</v>
      </c>
      <c r="V52" s="12">
        <f t="shared" si="62"/>
        <v>0</v>
      </c>
      <c r="W52" s="9">
        <f t="shared" si="36"/>
        <v>0</v>
      </c>
      <c r="X52" s="9">
        <f t="shared" si="63"/>
        <v>0</v>
      </c>
      <c r="Y52" s="9">
        <f t="shared" si="64"/>
        <v>0</v>
      </c>
      <c r="Z52" s="9">
        <f t="shared" si="65"/>
        <v>0</v>
      </c>
      <c r="AA52">
        <v>0</v>
      </c>
      <c r="AB52">
        <v>0</v>
      </c>
      <c r="AC52">
        <v>0</v>
      </c>
      <c r="AD52" s="12">
        <f t="shared" si="66"/>
        <v>0</v>
      </c>
      <c r="AE52" s="9">
        <f t="shared" si="67"/>
        <v>0</v>
      </c>
      <c r="AF52" s="9">
        <f t="shared" si="68"/>
        <v>0</v>
      </c>
      <c r="AG52" s="9">
        <f t="shared" si="69"/>
        <v>0</v>
      </c>
      <c r="AH52" s="9">
        <f t="shared" si="70"/>
        <v>0</v>
      </c>
      <c r="AI52" s="15">
        <f t="shared" si="71"/>
        <v>0</v>
      </c>
      <c r="AJ52" s="15">
        <f t="shared" si="72"/>
        <v>0</v>
      </c>
      <c r="AK52" s="15">
        <f t="shared" si="73"/>
        <v>0</v>
      </c>
      <c r="AL52" s="12">
        <f t="shared" si="74"/>
        <v>0</v>
      </c>
      <c r="AM52" s="12">
        <f t="shared" si="75"/>
        <v>0</v>
      </c>
      <c r="AN52" s="9">
        <f t="shared" si="76"/>
        <v>0</v>
      </c>
      <c r="AO52" s="9">
        <f t="shared" si="77"/>
        <v>0</v>
      </c>
      <c r="AP52" s="9">
        <f t="shared" si="78"/>
        <v>0</v>
      </c>
      <c r="AQ52" s="9">
        <f t="shared" si="79"/>
        <v>0</v>
      </c>
    </row>
    <row r="53">
      <c r="A53">
        <v>359</v>
      </c>
      <c r="B53" s="1" t="s">
        <v>121</v>
      </c>
      <c r="C53">
        <v>0</v>
      </c>
      <c r="D53">
        <v>0</v>
      </c>
      <c r="E53">
        <v>0</v>
      </c>
      <c r="F53" s="12">
        <f t="shared" si="54"/>
        <v>0</v>
      </c>
      <c r="G53" s="9">
        <f t="shared" si="26"/>
        <v>0</v>
      </c>
      <c r="H53" s="9">
        <f t="shared" si="55"/>
        <v>0</v>
      </c>
      <c r="I53" s="9">
        <f t="shared" si="56"/>
        <v>0</v>
      </c>
      <c r="J53" s="9">
        <f t="shared" si="57"/>
        <v>0</v>
      </c>
      <c r="K53">
        <v>0</v>
      </c>
      <c r="L53">
        <v>0</v>
      </c>
      <c r="M53">
        <v>0</v>
      </c>
      <c r="N53" s="12">
        <f t="shared" si="58"/>
        <v>0</v>
      </c>
      <c r="O53" s="9">
        <f t="shared" si="31"/>
        <v>0</v>
      </c>
      <c r="P53" s="9">
        <f t="shared" si="59"/>
        <v>0</v>
      </c>
      <c r="Q53" s="9">
        <f t="shared" si="60"/>
        <v>0</v>
      </c>
      <c r="R53" s="9">
        <f t="shared" si="61"/>
        <v>0</v>
      </c>
      <c r="S53">
        <v>0</v>
      </c>
      <c r="T53">
        <v>0</v>
      </c>
      <c r="U53">
        <v>0</v>
      </c>
      <c r="V53" s="12">
        <f t="shared" si="62"/>
        <v>0</v>
      </c>
      <c r="W53" s="9">
        <f t="shared" si="36"/>
        <v>0</v>
      </c>
      <c r="X53" s="9">
        <f t="shared" si="63"/>
        <v>0</v>
      </c>
      <c r="Y53" s="9">
        <f t="shared" si="64"/>
        <v>0</v>
      </c>
      <c r="Z53" s="9">
        <f t="shared" si="65"/>
        <v>0</v>
      </c>
      <c r="AA53">
        <v>0</v>
      </c>
      <c r="AB53">
        <v>0</v>
      </c>
      <c r="AC53">
        <v>0</v>
      </c>
      <c r="AD53" s="12">
        <f t="shared" si="66"/>
        <v>0</v>
      </c>
      <c r="AE53" s="9">
        <f t="shared" si="67"/>
        <v>0</v>
      </c>
      <c r="AF53" s="9">
        <f t="shared" si="68"/>
        <v>0</v>
      </c>
      <c r="AG53" s="9">
        <f t="shared" si="69"/>
        <v>0</v>
      </c>
      <c r="AH53" s="9">
        <f t="shared" si="70"/>
        <v>0</v>
      </c>
      <c r="AI53" s="15">
        <f t="shared" si="71"/>
        <v>0</v>
      </c>
      <c r="AJ53" s="15">
        <f t="shared" si="72"/>
        <v>0</v>
      </c>
      <c r="AK53" s="15">
        <f t="shared" si="73"/>
        <v>0</v>
      </c>
      <c r="AL53" s="12">
        <f t="shared" si="74"/>
        <v>0</v>
      </c>
      <c r="AM53" s="12">
        <f t="shared" si="75"/>
        <v>0</v>
      </c>
      <c r="AN53" s="9">
        <f t="shared" si="76"/>
        <v>0</v>
      </c>
      <c r="AO53" s="9">
        <f t="shared" si="77"/>
        <v>0</v>
      </c>
      <c r="AP53" s="9">
        <f t="shared" si="78"/>
        <v>0</v>
      </c>
      <c r="AQ53" s="9">
        <f t="shared" si="79"/>
        <v>0</v>
      </c>
    </row>
    <row r="54">
      <c r="A54">
        <v>363</v>
      </c>
      <c r="B54" s="1" t="s">
        <v>122</v>
      </c>
      <c r="C54">
        <v>0</v>
      </c>
      <c r="D54">
        <v>0</v>
      </c>
      <c r="E54">
        <v>0</v>
      </c>
      <c r="F54" s="12">
        <f t="shared" si="54"/>
        <v>0</v>
      </c>
      <c r="G54" s="9">
        <f t="shared" si="26"/>
        <v>0</v>
      </c>
      <c r="H54" s="9">
        <f t="shared" si="55"/>
        <v>0</v>
      </c>
      <c r="I54" s="9">
        <f t="shared" si="56"/>
        <v>0</v>
      </c>
      <c r="J54" s="9">
        <f t="shared" si="57"/>
        <v>0</v>
      </c>
      <c r="K54">
        <v>0</v>
      </c>
      <c r="L54">
        <v>0</v>
      </c>
      <c r="M54">
        <v>0</v>
      </c>
      <c r="N54" s="12">
        <f t="shared" si="58"/>
        <v>0</v>
      </c>
      <c r="O54" s="9">
        <f t="shared" si="31"/>
        <v>0</v>
      </c>
      <c r="P54" s="9">
        <f t="shared" si="59"/>
        <v>0</v>
      </c>
      <c r="Q54" s="9">
        <f t="shared" si="60"/>
        <v>0</v>
      </c>
      <c r="R54" s="9">
        <f t="shared" si="61"/>
        <v>0</v>
      </c>
      <c r="S54">
        <v>0</v>
      </c>
      <c r="T54">
        <v>0</v>
      </c>
      <c r="U54">
        <v>0</v>
      </c>
      <c r="V54" s="12">
        <f t="shared" si="62"/>
        <v>0</v>
      </c>
      <c r="W54" s="9">
        <f t="shared" si="36"/>
        <v>0</v>
      </c>
      <c r="X54" s="9">
        <f t="shared" si="63"/>
        <v>0</v>
      </c>
      <c r="Y54" s="9">
        <f t="shared" si="64"/>
        <v>0</v>
      </c>
      <c r="Z54" s="9">
        <f t="shared" si="65"/>
        <v>0</v>
      </c>
      <c r="AA54">
        <v>0</v>
      </c>
      <c r="AB54">
        <v>0</v>
      </c>
      <c r="AC54">
        <v>0</v>
      </c>
      <c r="AD54" s="12">
        <f t="shared" si="66"/>
        <v>0</v>
      </c>
      <c r="AE54" s="9">
        <f t="shared" si="67"/>
        <v>0</v>
      </c>
      <c r="AF54" s="9">
        <f t="shared" si="68"/>
        <v>0</v>
      </c>
      <c r="AG54" s="9">
        <f t="shared" si="69"/>
        <v>0</v>
      </c>
      <c r="AH54" s="9">
        <f t="shared" si="70"/>
        <v>0</v>
      </c>
      <c r="AI54" s="15">
        <f t="shared" si="71"/>
        <v>0</v>
      </c>
      <c r="AJ54" s="15">
        <f t="shared" si="72"/>
        <v>0</v>
      </c>
      <c r="AK54" s="15">
        <f t="shared" si="73"/>
        <v>0</v>
      </c>
      <c r="AL54" s="12">
        <f t="shared" si="74"/>
        <v>0</v>
      </c>
      <c r="AM54" s="12">
        <f t="shared" si="75"/>
        <v>0</v>
      </c>
      <c r="AN54" s="9">
        <f t="shared" si="76"/>
        <v>0</v>
      </c>
      <c r="AO54" s="9">
        <f t="shared" si="77"/>
        <v>0</v>
      </c>
      <c r="AP54" s="9">
        <f t="shared" si="78"/>
        <v>0</v>
      </c>
      <c r="AQ54" s="9">
        <f t="shared" si="79"/>
        <v>0</v>
      </c>
    </row>
    <row r="55">
      <c r="A55">
        <v>373</v>
      </c>
      <c r="B55" s="1" t="s">
        <v>123</v>
      </c>
      <c r="C55">
        <v>0</v>
      </c>
      <c r="D55">
        <v>0</v>
      </c>
      <c r="E55">
        <v>1</v>
      </c>
      <c r="F55" s="12">
        <f t="shared" si="54"/>
        <v>0</v>
      </c>
      <c r="G55" s="9">
        <f t="shared" si="26"/>
        <v>1</v>
      </c>
      <c r="H55" s="9">
        <f t="shared" si="55"/>
        <v>0</v>
      </c>
      <c r="I55" s="9">
        <f t="shared" si="56"/>
        <v>1</v>
      </c>
      <c r="J55" s="9">
        <f t="shared" si="57"/>
        <v>1</v>
      </c>
      <c r="K55">
        <v>0</v>
      </c>
      <c r="L55">
        <v>0</v>
      </c>
      <c r="M55">
        <v>0</v>
      </c>
      <c r="N55" s="12">
        <f t="shared" si="58"/>
        <v>0</v>
      </c>
      <c r="O55" s="9">
        <f t="shared" si="31"/>
        <v>0</v>
      </c>
      <c r="P55" s="9">
        <f t="shared" si="59"/>
        <v>0</v>
      </c>
      <c r="Q55" s="9">
        <f t="shared" si="60"/>
        <v>0</v>
      </c>
      <c r="R55" s="9">
        <f t="shared" si="61"/>
        <v>0</v>
      </c>
      <c r="S55">
        <v>0</v>
      </c>
      <c r="T55">
        <v>0</v>
      </c>
      <c r="U55">
        <v>0</v>
      </c>
      <c r="V55" s="12">
        <f t="shared" si="62"/>
        <v>0</v>
      </c>
      <c r="W55" s="9">
        <f t="shared" si="36"/>
        <v>0</v>
      </c>
      <c r="X55" s="9">
        <f t="shared" si="63"/>
        <v>0</v>
      </c>
      <c r="Y55" s="9">
        <f t="shared" si="64"/>
        <v>0</v>
      </c>
      <c r="Z55" s="9">
        <f t="shared" si="65"/>
        <v>0</v>
      </c>
      <c r="AA55">
        <v>0</v>
      </c>
      <c r="AB55">
        <v>0</v>
      </c>
      <c r="AC55">
        <v>0</v>
      </c>
      <c r="AD55" s="12">
        <f t="shared" si="66"/>
        <v>0</v>
      </c>
      <c r="AE55" s="9">
        <f t="shared" si="67"/>
        <v>0</v>
      </c>
      <c r="AF55" s="9">
        <f t="shared" si="68"/>
        <v>0</v>
      </c>
      <c r="AG55" s="9">
        <f t="shared" si="69"/>
        <v>0</v>
      </c>
      <c r="AH55" s="9">
        <f t="shared" si="70"/>
        <v>0</v>
      </c>
      <c r="AI55" s="15">
        <f t="shared" si="71"/>
        <v>0</v>
      </c>
      <c r="AJ55" s="15">
        <f t="shared" si="72"/>
        <v>0</v>
      </c>
      <c r="AK55" s="15">
        <f t="shared" si="73"/>
        <v>1</v>
      </c>
      <c r="AL55" s="12">
        <f t="shared" si="74"/>
        <v>0</v>
      </c>
      <c r="AM55" s="12">
        <f t="shared" si="75"/>
        <v>0</v>
      </c>
      <c r="AN55" s="9">
        <f t="shared" si="76"/>
        <v>1</v>
      </c>
      <c r="AO55" s="9">
        <f t="shared" si="77"/>
        <v>0</v>
      </c>
      <c r="AP55" s="9">
        <f t="shared" si="78"/>
        <v>1</v>
      </c>
      <c r="AQ55" s="9">
        <f t="shared" si="79"/>
        <v>1</v>
      </c>
    </row>
    <row r="56">
      <c r="A56">
        <v>387</v>
      </c>
      <c r="B56" s="1" t="s">
        <v>124</v>
      </c>
      <c r="C56">
        <v>0</v>
      </c>
      <c r="D56">
        <v>0</v>
      </c>
      <c r="E56">
        <v>0</v>
      </c>
      <c r="F56" s="12">
        <f t="shared" si="54"/>
        <v>0</v>
      </c>
      <c r="G56" s="9">
        <f t="shared" si="26"/>
        <v>0</v>
      </c>
      <c r="H56" s="9">
        <f t="shared" si="55"/>
        <v>0</v>
      </c>
      <c r="I56" s="9">
        <f t="shared" si="56"/>
        <v>0</v>
      </c>
      <c r="J56" s="9">
        <f t="shared" si="57"/>
        <v>0</v>
      </c>
      <c r="K56">
        <v>0</v>
      </c>
      <c r="L56">
        <v>0</v>
      </c>
      <c r="M56">
        <v>0</v>
      </c>
      <c r="N56" s="12">
        <f t="shared" si="58"/>
        <v>0</v>
      </c>
      <c r="O56" s="9">
        <f t="shared" si="31"/>
        <v>0</v>
      </c>
      <c r="P56" s="9">
        <f t="shared" si="59"/>
        <v>0</v>
      </c>
      <c r="Q56" s="9">
        <f t="shared" si="60"/>
        <v>0</v>
      </c>
      <c r="R56" s="9">
        <f t="shared" si="61"/>
        <v>0</v>
      </c>
      <c r="S56">
        <v>0</v>
      </c>
      <c r="T56">
        <v>0</v>
      </c>
      <c r="U56">
        <v>0</v>
      </c>
      <c r="V56" s="12">
        <f t="shared" si="62"/>
        <v>0</v>
      </c>
      <c r="W56" s="9">
        <f t="shared" si="36"/>
        <v>0</v>
      </c>
      <c r="X56" s="9">
        <f t="shared" si="63"/>
        <v>0</v>
      </c>
      <c r="Y56" s="9">
        <f t="shared" si="64"/>
        <v>0</v>
      </c>
      <c r="Z56" s="9">
        <f t="shared" si="65"/>
        <v>0</v>
      </c>
      <c r="AA56">
        <v>0</v>
      </c>
      <c r="AB56">
        <v>0</v>
      </c>
      <c r="AC56">
        <v>0</v>
      </c>
      <c r="AD56" s="12">
        <f t="shared" si="66"/>
        <v>0</v>
      </c>
      <c r="AE56" s="9">
        <f t="shared" si="67"/>
        <v>0</v>
      </c>
      <c r="AF56" s="9">
        <f t="shared" si="68"/>
        <v>0</v>
      </c>
      <c r="AG56" s="9">
        <f t="shared" si="69"/>
        <v>0</v>
      </c>
      <c r="AH56" s="9">
        <f t="shared" si="70"/>
        <v>0</v>
      </c>
      <c r="AI56" s="15">
        <f t="shared" si="71"/>
        <v>0</v>
      </c>
      <c r="AJ56" s="15">
        <f t="shared" si="72"/>
        <v>0</v>
      </c>
      <c r="AK56" s="15">
        <f t="shared" si="73"/>
        <v>0</v>
      </c>
      <c r="AL56" s="12">
        <f t="shared" si="74"/>
        <v>0</v>
      </c>
      <c r="AM56" s="12">
        <f t="shared" si="75"/>
        <v>0</v>
      </c>
      <c r="AN56" s="9">
        <f t="shared" si="76"/>
        <v>0</v>
      </c>
      <c r="AO56" s="9">
        <f t="shared" si="77"/>
        <v>0</v>
      </c>
      <c r="AP56" s="9">
        <f t="shared" si="78"/>
        <v>0</v>
      </c>
      <c r="AQ56" s="9">
        <f t="shared" si="79"/>
        <v>0</v>
      </c>
    </row>
    <row r="57">
      <c r="A57">
        <v>399</v>
      </c>
      <c r="B57" s="1" t="s">
        <v>125</v>
      </c>
      <c r="C57">
        <v>0</v>
      </c>
      <c r="D57">
        <v>0</v>
      </c>
      <c r="E57">
        <v>0</v>
      </c>
      <c r="F57" s="12">
        <f t="shared" si="54"/>
        <v>0</v>
      </c>
      <c r="G57" s="9">
        <f t="shared" si="26"/>
        <v>0</v>
      </c>
      <c r="H57" s="9">
        <f t="shared" si="55"/>
        <v>0</v>
      </c>
      <c r="I57" s="9">
        <f t="shared" si="56"/>
        <v>0</v>
      </c>
      <c r="J57" s="9">
        <f t="shared" si="57"/>
        <v>0</v>
      </c>
      <c r="K57">
        <v>0</v>
      </c>
      <c r="L57">
        <v>0</v>
      </c>
      <c r="M57">
        <v>0</v>
      </c>
      <c r="N57" s="12">
        <f t="shared" si="58"/>
        <v>0</v>
      </c>
      <c r="O57" s="9">
        <f t="shared" si="31"/>
        <v>0</v>
      </c>
      <c r="P57" s="9">
        <f t="shared" si="59"/>
        <v>0</v>
      </c>
      <c r="Q57" s="9">
        <f t="shared" si="60"/>
        <v>0</v>
      </c>
      <c r="R57" s="9">
        <f t="shared" si="61"/>
        <v>0</v>
      </c>
      <c r="S57">
        <v>0</v>
      </c>
      <c r="T57">
        <v>0</v>
      </c>
      <c r="U57">
        <v>0</v>
      </c>
      <c r="V57" s="12">
        <f t="shared" si="62"/>
        <v>0</v>
      </c>
      <c r="W57" s="9">
        <f t="shared" si="36"/>
        <v>0</v>
      </c>
      <c r="X57" s="9">
        <f t="shared" si="63"/>
        <v>0</v>
      </c>
      <c r="Y57" s="9">
        <f t="shared" si="64"/>
        <v>0</v>
      </c>
      <c r="Z57" s="9">
        <f t="shared" si="65"/>
        <v>0</v>
      </c>
      <c r="AA57">
        <v>0</v>
      </c>
      <c r="AB57">
        <v>0</v>
      </c>
      <c r="AC57">
        <v>0</v>
      </c>
      <c r="AD57" s="12">
        <f t="shared" si="66"/>
        <v>0</v>
      </c>
      <c r="AE57" s="9">
        <f t="shared" si="67"/>
        <v>0</v>
      </c>
      <c r="AF57" s="9">
        <f t="shared" si="68"/>
        <v>0</v>
      </c>
      <c r="AG57" s="9">
        <f t="shared" si="69"/>
        <v>0</v>
      </c>
      <c r="AH57" s="9">
        <f t="shared" si="70"/>
        <v>0</v>
      </c>
      <c r="AI57" s="15">
        <f t="shared" si="71"/>
        <v>0</v>
      </c>
      <c r="AJ57" s="15">
        <f t="shared" si="72"/>
        <v>0</v>
      </c>
      <c r="AK57" s="15">
        <f t="shared" si="73"/>
        <v>0</v>
      </c>
      <c r="AL57" s="12">
        <f t="shared" si="74"/>
        <v>0</v>
      </c>
      <c r="AM57" s="12">
        <f t="shared" si="75"/>
        <v>0</v>
      </c>
      <c r="AN57" s="9">
        <f t="shared" si="76"/>
        <v>0</v>
      </c>
      <c r="AO57" s="9">
        <f t="shared" si="77"/>
        <v>0</v>
      </c>
      <c r="AP57" s="9">
        <f t="shared" si="78"/>
        <v>0</v>
      </c>
      <c r="AQ57" s="9">
        <f t="shared" si="79"/>
        <v>0</v>
      </c>
    </row>
    <row r="58">
      <c r="A58">
        <v>400</v>
      </c>
      <c r="B58" s="1" t="s">
        <v>126</v>
      </c>
      <c r="C58">
        <v>0</v>
      </c>
      <c r="D58">
        <v>0</v>
      </c>
      <c r="E58">
        <v>0</v>
      </c>
      <c r="F58" s="12">
        <f t="shared" si="54"/>
        <v>0</v>
      </c>
      <c r="G58" s="9">
        <f t="shared" si="26"/>
        <v>0</v>
      </c>
      <c r="H58" s="9">
        <f t="shared" si="55"/>
        <v>0</v>
      </c>
      <c r="I58" s="9">
        <f t="shared" si="56"/>
        <v>0</v>
      </c>
      <c r="J58" s="9">
        <f t="shared" si="57"/>
        <v>0</v>
      </c>
      <c r="K58">
        <v>0</v>
      </c>
      <c r="L58">
        <v>0</v>
      </c>
      <c r="M58">
        <v>0</v>
      </c>
      <c r="N58" s="12">
        <f t="shared" si="58"/>
        <v>0</v>
      </c>
      <c r="O58" s="9">
        <f t="shared" si="31"/>
        <v>0</v>
      </c>
      <c r="P58" s="9">
        <f t="shared" si="59"/>
        <v>0</v>
      </c>
      <c r="Q58" s="9">
        <f t="shared" si="60"/>
        <v>0</v>
      </c>
      <c r="R58" s="9">
        <f t="shared" si="61"/>
        <v>0</v>
      </c>
      <c r="S58">
        <v>0</v>
      </c>
      <c r="T58">
        <v>0</v>
      </c>
      <c r="U58">
        <v>0</v>
      </c>
      <c r="V58" s="12">
        <f t="shared" si="62"/>
        <v>0</v>
      </c>
      <c r="W58" s="9">
        <f t="shared" si="36"/>
        <v>0</v>
      </c>
      <c r="X58" s="9">
        <f t="shared" si="63"/>
        <v>0</v>
      </c>
      <c r="Y58" s="9">
        <f t="shared" si="64"/>
        <v>0</v>
      </c>
      <c r="Z58" s="9">
        <f t="shared" si="65"/>
        <v>0</v>
      </c>
      <c r="AA58">
        <v>0</v>
      </c>
      <c r="AB58">
        <v>0</v>
      </c>
      <c r="AC58">
        <v>0</v>
      </c>
      <c r="AD58" s="12">
        <f t="shared" si="66"/>
        <v>0</v>
      </c>
      <c r="AE58" s="9">
        <f t="shared" si="67"/>
        <v>0</v>
      </c>
      <c r="AF58" s="9">
        <f t="shared" si="68"/>
        <v>0</v>
      </c>
      <c r="AG58" s="9">
        <f t="shared" si="69"/>
        <v>0</v>
      </c>
      <c r="AH58" s="9">
        <f t="shared" si="70"/>
        <v>0</v>
      </c>
      <c r="AI58" s="15">
        <f t="shared" si="71"/>
        <v>0</v>
      </c>
      <c r="AJ58" s="15">
        <f t="shared" si="72"/>
        <v>0</v>
      </c>
      <c r="AK58" s="15">
        <f t="shared" si="73"/>
        <v>0</v>
      </c>
      <c r="AL58" s="12">
        <f t="shared" si="74"/>
        <v>0</v>
      </c>
      <c r="AM58" s="12">
        <f t="shared" si="75"/>
        <v>0</v>
      </c>
      <c r="AN58" s="9">
        <f t="shared" si="76"/>
        <v>0</v>
      </c>
      <c r="AO58" s="9">
        <f t="shared" si="77"/>
        <v>0</v>
      </c>
      <c r="AP58" s="9">
        <f t="shared" si="78"/>
        <v>0</v>
      </c>
      <c r="AQ58" s="9">
        <f t="shared" si="79"/>
        <v>0</v>
      </c>
    </row>
    <row r="59">
      <c r="A59">
        <v>407</v>
      </c>
      <c r="B59" s="1" t="s">
        <v>127</v>
      </c>
      <c r="C59">
        <v>1</v>
      </c>
      <c r="D59">
        <v>1</v>
      </c>
      <c r="E59">
        <v>1</v>
      </c>
      <c r="F59" s="12">
        <f t="shared" si="54"/>
        <v>1</v>
      </c>
      <c r="G59" s="9">
        <f t="shared" si="26"/>
        <v>3</v>
      </c>
      <c r="H59" s="9">
        <f t="shared" si="55"/>
        <v>2</v>
      </c>
      <c r="I59" s="9">
        <f t="shared" si="56"/>
        <v>2</v>
      </c>
      <c r="J59" s="9">
        <f t="shared" si="57"/>
        <v>2</v>
      </c>
      <c r="K59">
        <v>0</v>
      </c>
      <c r="L59">
        <v>0</v>
      </c>
      <c r="M59">
        <v>0</v>
      </c>
      <c r="N59" s="12">
        <f t="shared" si="58"/>
        <v>0</v>
      </c>
      <c r="O59" s="9">
        <f t="shared" si="31"/>
        <v>0</v>
      </c>
      <c r="P59" s="9">
        <f t="shared" si="59"/>
        <v>0</v>
      </c>
      <c r="Q59" s="9">
        <f t="shared" si="60"/>
        <v>0</v>
      </c>
      <c r="R59" s="9">
        <f t="shared" si="61"/>
        <v>0</v>
      </c>
      <c r="S59">
        <v>0</v>
      </c>
      <c r="T59">
        <v>0</v>
      </c>
      <c r="U59">
        <v>0</v>
      </c>
      <c r="V59" s="12">
        <f t="shared" si="62"/>
        <v>0</v>
      </c>
      <c r="W59" s="9">
        <f t="shared" si="36"/>
        <v>0</v>
      </c>
      <c r="X59" s="9">
        <f t="shared" si="63"/>
        <v>0</v>
      </c>
      <c r="Y59" s="9">
        <f t="shared" si="64"/>
        <v>0</v>
      </c>
      <c r="Z59" s="9">
        <f t="shared" si="65"/>
        <v>0</v>
      </c>
      <c r="AA59">
        <v>0</v>
      </c>
      <c r="AB59">
        <v>0</v>
      </c>
      <c r="AC59">
        <v>0</v>
      </c>
      <c r="AD59" s="12">
        <f t="shared" si="66"/>
        <v>0</v>
      </c>
      <c r="AE59" s="9">
        <f t="shared" si="67"/>
        <v>0</v>
      </c>
      <c r="AF59" s="9">
        <f t="shared" si="68"/>
        <v>0</v>
      </c>
      <c r="AG59" s="9">
        <f t="shared" si="69"/>
        <v>0</v>
      </c>
      <c r="AH59" s="9">
        <f t="shared" si="70"/>
        <v>0</v>
      </c>
      <c r="AI59" s="15">
        <f t="shared" si="71"/>
        <v>1</v>
      </c>
      <c r="AJ59" s="15">
        <f t="shared" si="72"/>
        <v>1</v>
      </c>
      <c r="AK59" s="15">
        <f t="shared" si="73"/>
        <v>1</v>
      </c>
      <c r="AL59" s="12">
        <f t="shared" si="74"/>
        <v>1</v>
      </c>
      <c r="AM59" s="12">
        <f t="shared" si="75"/>
        <v>1</v>
      </c>
      <c r="AN59" s="9">
        <f t="shared" si="76"/>
        <v>3</v>
      </c>
      <c r="AO59" s="9">
        <f t="shared" si="77"/>
        <v>2</v>
      </c>
      <c r="AP59" s="9">
        <f t="shared" si="78"/>
        <v>2</v>
      </c>
      <c r="AQ59" s="9">
        <f t="shared" si="79"/>
        <v>2</v>
      </c>
    </row>
    <row r="60">
      <c r="A60">
        <v>421</v>
      </c>
      <c r="B60" s="1" t="s">
        <v>130</v>
      </c>
      <c r="C60">
        <v>0</v>
      </c>
      <c r="D60">
        <v>1</v>
      </c>
      <c r="E60">
        <v>0</v>
      </c>
      <c r="F60" s="12">
        <f t="shared" si="54"/>
        <v>0</v>
      </c>
      <c r="G60" s="9">
        <f t="shared" si="26"/>
        <v>1</v>
      </c>
      <c r="H60" s="9">
        <f t="shared" si="55"/>
        <v>1</v>
      </c>
      <c r="I60" s="9">
        <f t="shared" si="56"/>
        <v>0</v>
      </c>
      <c r="J60" s="9">
        <f t="shared" si="57"/>
        <v>1</v>
      </c>
      <c r="K60">
        <v>0</v>
      </c>
      <c r="L60">
        <v>0</v>
      </c>
      <c r="M60">
        <v>0</v>
      </c>
      <c r="N60" s="12">
        <f t="shared" si="58"/>
        <v>0</v>
      </c>
      <c r="O60" s="9">
        <f t="shared" si="31"/>
        <v>0</v>
      </c>
      <c r="P60" s="9">
        <f t="shared" si="59"/>
        <v>0</v>
      </c>
      <c r="Q60" s="9">
        <f t="shared" si="60"/>
        <v>0</v>
      </c>
      <c r="R60" s="9">
        <f t="shared" si="61"/>
        <v>0</v>
      </c>
      <c r="S60">
        <v>1</v>
      </c>
      <c r="T60">
        <v>0</v>
      </c>
      <c r="U60">
        <v>1</v>
      </c>
      <c r="V60" s="12">
        <f t="shared" si="62"/>
        <v>1</v>
      </c>
      <c r="W60" s="9">
        <f t="shared" si="36"/>
        <v>2</v>
      </c>
      <c r="X60" s="9">
        <f t="shared" si="63"/>
        <v>1</v>
      </c>
      <c r="Y60" s="9">
        <f t="shared" si="64"/>
        <v>2</v>
      </c>
      <c r="Z60" s="9">
        <f t="shared" si="65"/>
        <v>1</v>
      </c>
      <c r="AA60">
        <v>0</v>
      </c>
      <c r="AB60">
        <v>0</v>
      </c>
      <c r="AC60">
        <v>0</v>
      </c>
      <c r="AD60" s="12">
        <f t="shared" si="66"/>
        <v>0</v>
      </c>
      <c r="AE60" s="9">
        <f t="shared" si="67"/>
        <v>0</v>
      </c>
      <c r="AF60" s="9">
        <f t="shared" si="68"/>
        <v>0</v>
      </c>
      <c r="AG60" s="9">
        <f t="shared" si="69"/>
        <v>0</v>
      </c>
      <c r="AH60" s="9">
        <f t="shared" si="70"/>
        <v>0</v>
      </c>
      <c r="AI60" s="15">
        <f t="shared" si="71"/>
        <v>1</v>
      </c>
      <c r="AJ60" s="15">
        <f t="shared" si="72"/>
        <v>1</v>
      </c>
      <c r="AK60" s="15">
        <f t="shared" si="73"/>
        <v>1</v>
      </c>
      <c r="AL60" s="12">
        <f t="shared" si="74"/>
        <v>1</v>
      </c>
      <c r="AM60" s="12">
        <f t="shared" si="75"/>
        <v>1</v>
      </c>
      <c r="AN60" s="9">
        <f t="shared" si="76"/>
        <v>3</v>
      </c>
      <c r="AO60" s="9">
        <f t="shared" si="77"/>
        <v>2</v>
      </c>
      <c r="AP60" s="9">
        <f t="shared" si="78"/>
        <v>2</v>
      </c>
      <c r="AQ60" s="9">
        <f t="shared" si="79"/>
        <v>2</v>
      </c>
    </row>
    <row r="61">
      <c r="A61">
        <v>425</v>
      </c>
      <c r="B61" s="1" t="s">
        <v>133</v>
      </c>
      <c r="C61">
        <v>0</v>
      </c>
      <c r="D61">
        <v>0</v>
      </c>
      <c r="E61">
        <v>0</v>
      </c>
      <c r="F61" s="12">
        <f t="shared" si="54"/>
        <v>0</v>
      </c>
      <c r="G61" s="9">
        <f t="shared" si="26"/>
        <v>0</v>
      </c>
      <c r="H61" s="9">
        <f t="shared" si="55"/>
        <v>0</v>
      </c>
      <c r="I61" s="9">
        <f t="shared" si="56"/>
        <v>0</v>
      </c>
      <c r="J61" s="9">
        <f t="shared" si="57"/>
        <v>0</v>
      </c>
      <c r="K61">
        <v>1</v>
      </c>
      <c r="L61">
        <v>0</v>
      </c>
      <c r="M61">
        <v>0</v>
      </c>
      <c r="N61" s="12">
        <f t="shared" si="58"/>
        <v>0</v>
      </c>
      <c r="O61" s="9">
        <f t="shared" si="31"/>
        <v>1</v>
      </c>
      <c r="P61" s="9">
        <f t="shared" si="59"/>
        <v>1</v>
      </c>
      <c r="Q61" s="9">
        <f t="shared" si="60"/>
        <v>1</v>
      </c>
      <c r="R61" s="9">
        <f t="shared" si="61"/>
        <v>0</v>
      </c>
      <c r="S61">
        <v>0</v>
      </c>
      <c r="T61">
        <v>0</v>
      </c>
      <c r="U61">
        <v>1</v>
      </c>
      <c r="V61" s="12">
        <f t="shared" si="62"/>
        <v>0</v>
      </c>
      <c r="W61" s="9">
        <f t="shared" si="36"/>
        <v>1</v>
      </c>
      <c r="X61" s="9">
        <f t="shared" si="63"/>
        <v>0</v>
      </c>
      <c r="Y61" s="9">
        <f t="shared" si="64"/>
        <v>1</v>
      </c>
      <c r="Z61" s="9">
        <f t="shared" si="65"/>
        <v>1</v>
      </c>
      <c r="AA61">
        <v>0</v>
      </c>
      <c r="AB61">
        <v>0</v>
      </c>
      <c r="AC61">
        <v>0</v>
      </c>
      <c r="AD61" s="12">
        <f t="shared" si="66"/>
        <v>0</v>
      </c>
      <c r="AE61" s="9">
        <f t="shared" si="67"/>
        <v>0</v>
      </c>
      <c r="AF61" s="9">
        <f t="shared" si="68"/>
        <v>0</v>
      </c>
      <c r="AG61" s="9">
        <f t="shared" si="69"/>
        <v>0</v>
      </c>
      <c r="AH61" s="9">
        <f t="shared" si="70"/>
        <v>0</v>
      </c>
      <c r="AI61" s="15">
        <f t="shared" si="71"/>
        <v>1</v>
      </c>
      <c r="AJ61" s="15">
        <f t="shared" si="72"/>
        <v>0</v>
      </c>
      <c r="AK61" s="15">
        <f t="shared" si="73"/>
        <v>1</v>
      </c>
      <c r="AL61" s="12">
        <f t="shared" si="74"/>
        <v>1</v>
      </c>
      <c r="AM61" s="12">
        <f t="shared" si="75"/>
        <v>0</v>
      </c>
      <c r="AN61" s="9">
        <f t="shared" si="76"/>
        <v>2</v>
      </c>
      <c r="AO61" s="9">
        <f t="shared" si="77"/>
        <v>1</v>
      </c>
      <c r="AP61" s="9">
        <f t="shared" si="78"/>
        <v>2</v>
      </c>
      <c r="AQ61" s="9">
        <f t="shared" si="79"/>
        <v>1</v>
      </c>
    </row>
    <row r="62">
      <c r="A62">
        <v>429</v>
      </c>
      <c r="B62" s="1" t="s">
        <v>135</v>
      </c>
      <c r="C62">
        <v>0</v>
      </c>
      <c r="D62">
        <v>0</v>
      </c>
      <c r="E62">
        <v>0</v>
      </c>
      <c r="F62" s="12">
        <f t="shared" si="54"/>
        <v>0</v>
      </c>
      <c r="G62" s="9">
        <f t="shared" si="26"/>
        <v>0</v>
      </c>
      <c r="H62" s="9">
        <f t="shared" si="55"/>
        <v>0</v>
      </c>
      <c r="I62" s="9">
        <f t="shared" si="56"/>
        <v>0</v>
      </c>
      <c r="J62" s="9">
        <f t="shared" si="57"/>
        <v>0</v>
      </c>
      <c r="K62">
        <v>0</v>
      </c>
      <c r="L62">
        <v>0</v>
      </c>
      <c r="M62">
        <v>0</v>
      </c>
      <c r="N62" s="12">
        <f t="shared" si="58"/>
        <v>0</v>
      </c>
      <c r="O62" s="9">
        <f t="shared" si="31"/>
        <v>0</v>
      </c>
      <c r="P62" s="9">
        <f t="shared" si="59"/>
        <v>0</v>
      </c>
      <c r="Q62" s="9">
        <f t="shared" si="60"/>
        <v>0</v>
      </c>
      <c r="R62" s="9">
        <f t="shared" si="61"/>
        <v>0</v>
      </c>
      <c r="S62">
        <v>0</v>
      </c>
      <c r="T62">
        <v>0</v>
      </c>
      <c r="U62">
        <v>0</v>
      </c>
      <c r="V62" s="12">
        <f t="shared" si="62"/>
        <v>0</v>
      </c>
      <c r="W62" s="9">
        <f t="shared" si="36"/>
        <v>0</v>
      </c>
      <c r="X62" s="9">
        <f t="shared" si="63"/>
        <v>0</v>
      </c>
      <c r="Y62" s="9">
        <f t="shared" si="64"/>
        <v>0</v>
      </c>
      <c r="Z62" s="9">
        <f t="shared" si="65"/>
        <v>0</v>
      </c>
      <c r="AA62">
        <v>0</v>
      </c>
      <c r="AB62">
        <v>0</v>
      </c>
      <c r="AC62">
        <v>0</v>
      </c>
      <c r="AD62" s="12">
        <f t="shared" si="66"/>
        <v>0</v>
      </c>
      <c r="AE62" s="9">
        <f t="shared" si="67"/>
        <v>0</v>
      </c>
      <c r="AF62" s="9">
        <f t="shared" si="68"/>
        <v>0</v>
      </c>
      <c r="AG62" s="9">
        <f t="shared" si="69"/>
        <v>0</v>
      </c>
      <c r="AH62" s="9">
        <f t="shared" si="70"/>
        <v>0</v>
      </c>
      <c r="AI62" s="15">
        <f t="shared" si="71"/>
        <v>0</v>
      </c>
      <c r="AJ62" s="15">
        <f t="shared" si="72"/>
        <v>0</v>
      </c>
      <c r="AK62" s="15">
        <f t="shared" si="73"/>
        <v>0</v>
      </c>
      <c r="AL62" s="12">
        <f t="shared" si="74"/>
        <v>0</v>
      </c>
      <c r="AM62" s="12">
        <f t="shared" si="75"/>
        <v>0</v>
      </c>
      <c r="AN62" s="9">
        <f t="shared" si="76"/>
        <v>0</v>
      </c>
      <c r="AO62" s="9">
        <f t="shared" si="77"/>
        <v>0</v>
      </c>
      <c r="AP62" s="9">
        <f t="shared" si="78"/>
        <v>0</v>
      </c>
      <c r="AQ62" s="9">
        <f t="shared" si="79"/>
        <v>0</v>
      </c>
    </row>
    <row r="63">
      <c r="A63">
        <v>438</v>
      </c>
      <c r="B63" s="1" t="s">
        <v>136</v>
      </c>
      <c r="C63">
        <v>0</v>
      </c>
      <c r="D63">
        <v>0</v>
      </c>
      <c r="E63">
        <v>0</v>
      </c>
      <c r="F63" s="12">
        <f t="shared" si="54"/>
        <v>0</v>
      </c>
      <c r="G63" s="9">
        <f t="shared" si="26"/>
        <v>0</v>
      </c>
      <c r="H63" s="9">
        <f t="shared" si="55"/>
        <v>0</v>
      </c>
      <c r="I63" s="9">
        <f t="shared" si="56"/>
        <v>0</v>
      </c>
      <c r="J63" s="9">
        <f t="shared" si="57"/>
        <v>0</v>
      </c>
      <c r="K63">
        <v>0</v>
      </c>
      <c r="L63">
        <v>0</v>
      </c>
      <c r="M63">
        <v>0</v>
      </c>
      <c r="N63" s="12">
        <f t="shared" si="58"/>
        <v>0</v>
      </c>
      <c r="O63" s="9">
        <f t="shared" si="31"/>
        <v>0</v>
      </c>
      <c r="P63" s="9">
        <f t="shared" si="59"/>
        <v>0</v>
      </c>
      <c r="Q63" s="9">
        <f t="shared" si="60"/>
        <v>0</v>
      </c>
      <c r="R63" s="9">
        <f t="shared" si="61"/>
        <v>0</v>
      </c>
      <c r="S63">
        <v>0</v>
      </c>
      <c r="T63">
        <v>0</v>
      </c>
      <c r="U63">
        <v>0</v>
      </c>
      <c r="V63" s="12">
        <f t="shared" si="62"/>
        <v>0</v>
      </c>
      <c r="W63" s="9">
        <f t="shared" si="36"/>
        <v>0</v>
      </c>
      <c r="X63" s="9">
        <f t="shared" si="63"/>
        <v>0</v>
      </c>
      <c r="Y63" s="9">
        <f t="shared" si="64"/>
        <v>0</v>
      </c>
      <c r="Z63" s="9">
        <f t="shared" si="65"/>
        <v>0</v>
      </c>
      <c r="AA63">
        <v>0</v>
      </c>
      <c r="AB63">
        <v>0</v>
      </c>
      <c r="AC63">
        <v>0</v>
      </c>
      <c r="AD63" s="12">
        <f t="shared" si="66"/>
        <v>0</v>
      </c>
      <c r="AE63" s="9">
        <f t="shared" si="67"/>
        <v>0</v>
      </c>
      <c r="AF63" s="9">
        <f t="shared" si="68"/>
        <v>0</v>
      </c>
      <c r="AG63" s="9">
        <f t="shared" si="69"/>
        <v>0</v>
      </c>
      <c r="AH63" s="9">
        <f t="shared" si="70"/>
        <v>0</v>
      </c>
      <c r="AI63" s="15">
        <f t="shared" si="71"/>
        <v>0</v>
      </c>
      <c r="AJ63" s="15">
        <f t="shared" si="72"/>
        <v>0</v>
      </c>
      <c r="AK63" s="15">
        <f t="shared" si="73"/>
        <v>0</v>
      </c>
      <c r="AL63" s="12">
        <f t="shared" si="74"/>
        <v>0</v>
      </c>
      <c r="AM63" s="12">
        <f t="shared" si="75"/>
        <v>0</v>
      </c>
      <c r="AN63" s="9">
        <f t="shared" si="76"/>
        <v>0</v>
      </c>
      <c r="AO63" s="9">
        <f t="shared" si="77"/>
        <v>0</v>
      </c>
      <c r="AP63" s="9">
        <f t="shared" si="78"/>
        <v>0</v>
      </c>
      <c r="AQ63" s="9">
        <f t="shared" si="79"/>
        <v>0</v>
      </c>
    </row>
    <row r="64">
      <c r="A64">
        <v>439</v>
      </c>
      <c r="B64" s="1" t="s">
        <v>137</v>
      </c>
      <c r="C64">
        <v>0</v>
      </c>
      <c r="D64">
        <v>1</v>
      </c>
      <c r="E64">
        <v>1</v>
      </c>
      <c r="F64" s="12">
        <f t="shared" si="54"/>
        <v>1</v>
      </c>
      <c r="G64" s="9">
        <f t="shared" si="26"/>
        <v>2</v>
      </c>
      <c r="H64" s="9">
        <f t="shared" si="55"/>
        <v>1</v>
      </c>
      <c r="I64" s="9">
        <f t="shared" si="56"/>
        <v>1</v>
      </c>
      <c r="J64" s="9">
        <f t="shared" si="57"/>
        <v>2</v>
      </c>
      <c r="K64">
        <v>0</v>
      </c>
      <c r="L64">
        <v>0</v>
      </c>
      <c r="M64">
        <v>0</v>
      </c>
      <c r="N64" s="12">
        <f t="shared" si="58"/>
        <v>0</v>
      </c>
      <c r="O64" s="9">
        <f t="shared" si="31"/>
        <v>0</v>
      </c>
      <c r="P64" s="9">
        <f t="shared" si="59"/>
        <v>0</v>
      </c>
      <c r="Q64" s="9">
        <f t="shared" si="60"/>
        <v>0</v>
      </c>
      <c r="R64" s="9">
        <f t="shared" si="61"/>
        <v>0</v>
      </c>
      <c r="S64">
        <v>0</v>
      </c>
      <c r="T64">
        <v>0</v>
      </c>
      <c r="U64">
        <v>0</v>
      </c>
      <c r="V64" s="12">
        <f t="shared" si="62"/>
        <v>0</v>
      </c>
      <c r="W64" s="9">
        <f t="shared" si="36"/>
        <v>0</v>
      </c>
      <c r="X64" s="9">
        <f t="shared" si="63"/>
        <v>0</v>
      </c>
      <c r="Y64" s="9">
        <f t="shared" si="64"/>
        <v>0</v>
      </c>
      <c r="Z64" s="9">
        <f t="shared" si="65"/>
        <v>0</v>
      </c>
      <c r="AA64">
        <v>0</v>
      </c>
      <c r="AB64">
        <v>0</v>
      </c>
      <c r="AC64">
        <v>0</v>
      </c>
      <c r="AD64" s="12">
        <f t="shared" si="66"/>
        <v>0</v>
      </c>
      <c r="AE64" s="9">
        <f t="shared" si="67"/>
        <v>0</v>
      </c>
      <c r="AF64" s="9">
        <f t="shared" si="68"/>
        <v>0</v>
      </c>
      <c r="AG64" s="9">
        <f t="shared" si="69"/>
        <v>0</v>
      </c>
      <c r="AH64" s="9">
        <f t="shared" si="70"/>
        <v>0</v>
      </c>
      <c r="AI64" s="15">
        <f t="shared" si="71"/>
        <v>0</v>
      </c>
      <c r="AJ64" s="15">
        <f t="shared" si="72"/>
        <v>1</v>
      </c>
      <c r="AK64" s="15">
        <f t="shared" si="73"/>
        <v>1</v>
      </c>
      <c r="AL64" s="12">
        <f t="shared" si="74"/>
        <v>1</v>
      </c>
      <c r="AM64" s="12">
        <f t="shared" si="75"/>
        <v>1</v>
      </c>
      <c r="AN64" s="9">
        <f t="shared" si="76"/>
        <v>2</v>
      </c>
      <c r="AO64" s="9">
        <f t="shared" si="77"/>
        <v>1</v>
      </c>
      <c r="AP64" s="9">
        <f t="shared" si="78"/>
        <v>1</v>
      </c>
      <c r="AQ64" s="9">
        <f t="shared" si="79"/>
        <v>2</v>
      </c>
    </row>
    <row r="65">
      <c r="A65">
        <v>446</v>
      </c>
      <c r="B65" s="1" t="s">
        <v>140</v>
      </c>
      <c r="C65">
        <v>1</v>
      </c>
      <c r="D65">
        <v>1</v>
      </c>
      <c r="E65">
        <v>0</v>
      </c>
      <c r="F65" s="12">
        <f t="shared" si="54"/>
        <v>1</v>
      </c>
      <c r="G65" s="9">
        <f t="shared" si="26"/>
        <v>2</v>
      </c>
      <c r="H65" s="9">
        <f t="shared" si="55"/>
        <v>2</v>
      </c>
      <c r="I65" s="9">
        <f t="shared" si="56"/>
        <v>1</v>
      </c>
      <c r="J65" s="9">
        <f t="shared" si="57"/>
        <v>1</v>
      </c>
      <c r="K65">
        <v>0</v>
      </c>
      <c r="L65">
        <v>0</v>
      </c>
      <c r="M65">
        <v>0</v>
      </c>
      <c r="N65" s="12">
        <f t="shared" si="58"/>
        <v>0</v>
      </c>
      <c r="O65" s="9">
        <f t="shared" si="31"/>
        <v>0</v>
      </c>
      <c r="P65" s="9">
        <f t="shared" si="59"/>
        <v>0</v>
      </c>
      <c r="Q65" s="9">
        <f t="shared" si="60"/>
        <v>0</v>
      </c>
      <c r="R65" s="9">
        <f t="shared" si="61"/>
        <v>0</v>
      </c>
      <c r="S65">
        <v>0</v>
      </c>
      <c r="T65">
        <v>0</v>
      </c>
      <c r="U65">
        <v>0</v>
      </c>
      <c r="V65" s="12">
        <f t="shared" si="62"/>
        <v>0</v>
      </c>
      <c r="W65" s="9">
        <f t="shared" si="36"/>
        <v>0</v>
      </c>
      <c r="X65" s="9">
        <f t="shared" si="63"/>
        <v>0</v>
      </c>
      <c r="Y65" s="9">
        <f t="shared" si="64"/>
        <v>0</v>
      </c>
      <c r="Z65" s="9">
        <f t="shared" si="65"/>
        <v>0</v>
      </c>
      <c r="AA65">
        <v>0</v>
      </c>
      <c r="AB65">
        <v>0</v>
      </c>
      <c r="AC65">
        <v>0</v>
      </c>
      <c r="AD65" s="12">
        <f t="shared" si="66"/>
        <v>0</v>
      </c>
      <c r="AE65" s="9">
        <f t="shared" si="67"/>
        <v>0</v>
      </c>
      <c r="AF65" s="9">
        <f t="shared" si="68"/>
        <v>0</v>
      </c>
      <c r="AG65" s="9">
        <f t="shared" si="69"/>
        <v>0</v>
      </c>
      <c r="AH65" s="9">
        <f t="shared" si="70"/>
        <v>0</v>
      </c>
      <c r="AI65" s="15">
        <f t="shared" si="71"/>
        <v>1</v>
      </c>
      <c r="AJ65" s="15">
        <f t="shared" si="72"/>
        <v>1</v>
      </c>
      <c r="AK65" s="15">
        <f t="shared" si="73"/>
        <v>0</v>
      </c>
      <c r="AL65" s="12">
        <f t="shared" si="74"/>
        <v>1</v>
      </c>
      <c r="AM65" s="12">
        <f t="shared" si="75"/>
        <v>1</v>
      </c>
      <c r="AN65" s="9">
        <f t="shared" si="76"/>
        <v>2</v>
      </c>
      <c r="AO65" s="9">
        <f t="shared" si="77"/>
        <v>2</v>
      </c>
      <c r="AP65" s="9">
        <f t="shared" si="78"/>
        <v>1</v>
      </c>
      <c r="AQ65" s="9">
        <f t="shared" si="79"/>
        <v>1</v>
      </c>
    </row>
    <row r="66">
      <c r="A66">
        <v>449</v>
      </c>
      <c r="B66" s="1" t="s">
        <v>135</v>
      </c>
      <c r="C66">
        <v>0</v>
      </c>
      <c r="D66">
        <v>0</v>
      </c>
      <c r="E66">
        <v>0</v>
      </c>
      <c r="F66" s="12">
        <f t="shared" si="54"/>
        <v>0</v>
      </c>
      <c r="G66" s="9">
        <f t="shared" ref="G66" si="80">C66+D66+E66</f>
        <v>0</v>
      </c>
      <c r="H66" s="9">
        <f t="shared" si="55"/>
        <v>0</v>
      </c>
      <c r="I66" s="9">
        <f t="shared" si="56"/>
        <v>0</v>
      </c>
      <c r="J66" s="9">
        <f t="shared" si="57"/>
        <v>0</v>
      </c>
      <c r="K66">
        <v>0</v>
      </c>
      <c r="L66">
        <v>0</v>
      </c>
      <c r="M66">
        <v>0</v>
      </c>
      <c r="N66" s="12">
        <f t="shared" si="58"/>
        <v>0</v>
      </c>
      <c r="O66" s="9">
        <f t="shared" ref="O66" si="81">K66+L66+M66</f>
        <v>0</v>
      </c>
      <c r="P66" s="9">
        <f t="shared" si="59"/>
        <v>0</v>
      </c>
      <c r="Q66" s="9">
        <f t="shared" si="60"/>
        <v>0</v>
      </c>
      <c r="R66" s="9">
        <f t="shared" si="61"/>
        <v>0</v>
      </c>
      <c r="S66">
        <v>0</v>
      </c>
      <c r="T66">
        <v>0</v>
      </c>
      <c r="U66">
        <v>0</v>
      </c>
      <c r="V66" s="12">
        <f t="shared" si="62"/>
        <v>0</v>
      </c>
      <c r="W66" s="9">
        <f t="shared" ref="W66" si="82">S66+T66+U66</f>
        <v>0</v>
      </c>
      <c r="X66" s="9">
        <f t="shared" si="63"/>
        <v>0</v>
      </c>
      <c r="Y66" s="9">
        <f t="shared" si="64"/>
        <v>0</v>
      </c>
      <c r="Z66" s="9">
        <f t="shared" si="65"/>
        <v>0</v>
      </c>
      <c r="AA66">
        <v>0</v>
      </c>
      <c r="AB66">
        <v>0</v>
      </c>
      <c r="AC66">
        <v>0</v>
      </c>
      <c r="AD66" s="12">
        <f t="shared" si="66"/>
        <v>0</v>
      </c>
      <c r="AE66" s="9">
        <f t="shared" si="67"/>
        <v>0</v>
      </c>
      <c r="AF66" s="9">
        <f t="shared" si="68"/>
        <v>0</v>
      </c>
      <c r="AG66" s="9">
        <f t="shared" si="69"/>
        <v>0</v>
      </c>
      <c r="AH66" s="9">
        <f t="shared" si="70"/>
        <v>0</v>
      </c>
      <c r="AI66" s="15">
        <f t="shared" si="71"/>
        <v>0</v>
      </c>
      <c r="AJ66" s="15">
        <f t="shared" si="72"/>
        <v>0</v>
      </c>
      <c r="AK66" s="15">
        <f t="shared" si="73"/>
        <v>0</v>
      </c>
      <c r="AL66" s="12">
        <f t="shared" si="74"/>
        <v>0</v>
      </c>
      <c r="AM66" s="12">
        <f t="shared" si="75"/>
        <v>0</v>
      </c>
      <c r="AN66" s="9">
        <f t="shared" si="76"/>
        <v>0</v>
      </c>
      <c r="AO66" s="9">
        <f t="shared" si="77"/>
        <v>0</v>
      </c>
      <c r="AP66" s="9">
        <f t="shared" si="78"/>
        <v>0</v>
      </c>
      <c r="AQ66" s="9">
        <f t="shared" si="79"/>
        <v>0</v>
      </c>
    </row>
    <row r="67">
      <c r="A67">
        <v>452</v>
      </c>
      <c r="B67" s="1" t="s">
        <v>142</v>
      </c>
      <c r="C67">
        <v>1</v>
      </c>
      <c r="D67">
        <v>1</v>
      </c>
      <c r="E67">
        <v>0</v>
      </c>
      <c r="F67" s="12">
        <f t="shared" si="54"/>
        <v>1</v>
      </c>
      <c r="G67" s="9">
        <f t="shared" ref="G67:G130" si="83">C67+D67+E67</f>
        <v>2</v>
      </c>
      <c r="H67" s="9">
        <f t="shared" si="55"/>
        <v>2</v>
      </c>
      <c r="I67" s="9">
        <f t="shared" si="56"/>
        <v>1</v>
      </c>
      <c r="J67" s="9">
        <f t="shared" si="57"/>
        <v>1</v>
      </c>
      <c r="K67">
        <v>1</v>
      </c>
      <c r="L67">
        <v>1</v>
      </c>
      <c r="M67">
        <v>1</v>
      </c>
      <c r="N67" s="12">
        <f t="shared" si="58"/>
        <v>1</v>
      </c>
      <c r="O67" s="9">
        <f t="shared" ref="O67:O130" si="84">K67+L67+M67</f>
        <v>3</v>
      </c>
      <c r="P67" s="9">
        <f t="shared" si="59"/>
        <v>2</v>
      </c>
      <c r="Q67" s="9">
        <f t="shared" si="60"/>
        <v>2</v>
      </c>
      <c r="R67" s="9">
        <f t="shared" si="61"/>
        <v>2</v>
      </c>
      <c r="S67">
        <v>0</v>
      </c>
      <c r="T67">
        <v>0</v>
      </c>
      <c r="U67">
        <v>0</v>
      </c>
      <c r="V67" s="12">
        <f t="shared" si="62"/>
        <v>0</v>
      </c>
      <c r="W67" s="9">
        <f t="shared" ref="W67:W130" si="85">S67+T67+U67</f>
        <v>0</v>
      </c>
      <c r="X67" s="9">
        <f t="shared" si="63"/>
        <v>0</v>
      </c>
      <c r="Y67" s="9">
        <f t="shared" si="64"/>
        <v>0</v>
      </c>
      <c r="Z67" s="9">
        <f t="shared" si="65"/>
        <v>0</v>
      </c>
      <c r="AA67">
        <v>0</v>
      </c>
      <c r="AB67">
        <v>0</v>
      </c>
      <c r="AC67">
        <v>0</v>
      </c>
      <c r="AD67" s="12">
        <f t="shared" si="66"/>
        <v>0</v>
      </c>
      <c r="AE67" s="9">
        <f t="shared" si="67"/>
        <v>0</v>
      </c>
      <c r="AF67" s="9">
        <f t="shared" si="68"/>
        <v>0</v>
      </c>
      <c r="AG67" s="9">
        <f t="shared" si="69"/>
        <v>0</v>
      </c>
      <c r="AH67" s="9">
        <f t="shared" si="70"/>
        <v>0</v>
      </c>
      <c r="AI67" s="15">
        <f t="shared" si="71"/>
        <v>1</v>
      </c>
      <c r="AJ67" s="15">
        <f t="shared" si="72"/>
        <v>1</v>
      </c>
      <c r="AK67" s="15">
        <f t="shared" si="73"/>
        <v>1</v>
      </c>
      <c r="AL67" s="12">
        <f t="shared" si="74"/>
        <v>1</v>
      </c>
      <c r="AM67" s="12">
        <f t="shared" si="75"/>
        <v>1</v>
      </c>
      <c r="AN67" s="9">
        <f t="shared" si="76"/>
        <v>3</v>
      </c>
      <c r="AO67" s="9">
        <f t="shared" si="77"/>
        <v>2</v>
      </c>
      <c r="AP67" s="9">
        <f t="shared" si="78"/>
        <v>2</v>
      </c>
      <c r="AQ67" s="9">
        <f t="shared" si="79"/>
        <v>2</v>
      </c>
    </row>
    <row r="68">
      <c r="A68">
        <v>457</v>
      </c>
      <c r="B68" s="1" t="s">
        <v>146</v>
      </c>
      <c r="C68">
        <v>0</v>
      </c>
      <c r="D68">
        <v>0</v>
      </c>
      <c r="E68">
        <v>0</v>
      </c>
      <c r="F68" s="12">
        <f t="shared" si="54"/>
        <v>0</v>
      </c>
      <c r="G68" s="9">
        <f t="shared" si="83"/>
        <v>0</v>
      </c>
      <c r="H68" s="9">
        <f t="shared" si="55"/>
        <v>0</v>
      </c>
      <c r="I68" s="9">
        <f t="shared" si="56"/>
        <v>0</v>
      </c>
      <c r="J68" s="9">
        <f t="shared" si="57"/>
        <v>0</v>
      </c>
      <c r="K68">
        <v>0</v>
      </c>
      <c r="L68">
        <v>0</v>
      </c>
      <c r="M68">
        <v>0</v>
      </c>
      <c r="N68" s="12">
        <f t="shared" si="58"/>
        <v>0</v>
      </c>
      <c r="O68" s="9">
        <f t="shared" si="84"/>
        <v>0</v>
      </c>
      <c r="P68" s="9">
        <f t="shared" si="59"/>
        <v>0</v>
      </c>
      <c r="Q68" s="9">
        <f t="shared" si="60"/>
        <v>0</v>
      </c>
      <c r="R68" s="9">
        <f t="shared" si="61"/>
        <v>0</v>
      </c>
      <c r="S68">
        <v>0</v>
      </c>
      <c r="T68">
        <v>0</v>
      </c>
      <c r="U68">
        <v>0</v>
      </c>
      <c r="V68" s="12">
        <f t="shared" si="62"/>
        <v>0</v>
      </c>
      <c r="W68" s="9">
        <f t="shared" si="85"/>
        <v>0</v>
      </c>
      <c r="X68" s="9">
        <f t="shared" si="63"/>
        <v>0</v>
      </c>
      <c r="Y68" s="9">
        <f t="shared" si="64"/>
        <v>0</v>
      </c>
      <c r="Z68" s="9">
        <f t="shared" si="65"/>
        <v>0</v>
      </c>
      <c r="AA68">
        <v>1</v>
      </c>
      <c r="AB68">
        <v>1</v>
      </c>
      <c r="AC68">
        <v>1</v>
      </c>
      <c r="AD68" s="12">
        <f t="shared" si="66"/>
        <v>1</v>
      </c>
      <c r="AE68" s="9">
        <f t="shared" si="67"/>
        <v>3</v>
      </c>
      <c r="AF68" s="9">
        <f t="shared" si="68"/>
        <v>2</v>
      </c>
      <c r="AG68" s="9">
        <f t="shared" si="69"/>
        <v>2</v>
      </c>
      <c r="AH68" s="9">
        <f t="shared" si="70"/>
        <v>2</v>
      </c>
      <c r="AI68" s="15">
        <f t="shared" si="71"/>
        <v>1</v>
      </c>
      <c r="AJ68" s="15">
        <f t="shared" si="72"/>
        <v>1</v>
      </c>
      <c r="AK68" s="15">
        <f t="shared" si="73"/>
        <v>1</v>
      </c>
      <c r="AL68" s="12">
        <f t="shared" si="74"/>
        <v>1</v>
      </c>
      <c r="AM68" s="12">
        <f t="shared" si="75"/>
        <v>1</v>
      </c>
      <c r="AN68" s="9">
        <f t="shared" si="76"/>
        <v>3</v>
      </c>
      <c r="AO68" s="9">
        <f t="shared" si="77"/>
        <v>2</v>
      </c>
      <c r="AP68" s="9">
        <f t="shared" si="78"/>
        <v>2</v>
      </c>
      <c r="AQ68" s="9">
        <f t="shared" si="79"/>
        <v>2</v>
      </c>
    </row>
    <row r="69">
      <c r="A69">
        <v>460</v>
      </c>
      <c r="B69" s="1" t="s">
        <v>147</v>
      </c>
      <c r="C69">
        <v>1</v>
      </c>
      <c r="D69">
        <v>1</v>
      </c>
      <c r="E69">
        <v>1</v>
      </c>
      <c r="F69" s="12">
        <f t="shared" si="54"/>
        <v>1</v>
      </c>
      <c r="G69" s="9">
        <f t="shared" si="83"/>
        <v>3</v>
      </c>
      <c r="H69" s="9">
        <f t="shared" si="55"/>
        <v>2</v>
      </c>
      <c r="I69" s="9">
        <f t="shared" si="56"/>
        <v>2</v>
      </c>
      <c r="J69" s="9">
        <f t="shared" si="57"/>
        <v>2</v>
      </c>
      <c r="K69">
        <v>0</v>
      </c>
      <c r="L69">
        <v>0</v>
      </c>
      <c r="M69">
        <v>0</v>
      </c>
      <c r="N69" s="12">
        <f t="shared" si="58"/>
        <v>0</v>
      </c>
      <c r="O69" s="9">
        <f t="shared" si="84"/>
        <v>0</v>
      </c>
      <c r="P69" s="9">
        <f t="shared" si="59"/>
        <v>0</v>
      </c>
      <c r="Q69" s="9">
        <f t="shared" si="60"/>
        <v>0</v>
      </c>
      <c r="R69" s="9">
        <f t="shared" si="61"/>
        <v>0</v>
      </c>
      <c r="S69">
        <v>0</v>
      </c>
      <c r="T69">
        <v>0</v>
      </c>
      <c r="U69">
        <v>0</v>
      </c>
      <c r="V69" s="12">
        <f t="shared" si="62"/>
        <v>0</v>
      </c>
      <c r="W69" s="9">
        <f t="shared" si="85"/>
        <v>0</v>
      </c>
      <c r="X69" s="9">
        <f t="shared" si="63"/>
        <v>0</v>
      </c>
      <c r="Y69" s="9">
        <f t="shared" si="64"/>
        <v>0</v>
      </c>
      <c r="Z69" s="9">
        <f t="shared" si="65"/>
        <v>0</v>
      </c>
      <c r="AA69">
        <v>0</v>
      </c>
      <c r="AB69">
        <v>0</v>
      </c>
      <c r="AC69">
        <v>0</v>
      </c>
      <c r="AD69" s="12">
        <f t="shared" si="66"/>
        <v>0</v>
      </c>
      <c r="AE69" s="9">
        <f t="shared" si="67"/>
        <v>0</v>
      </c>
      <c r="AF69" s="9">
        <f t="shared" si="68"/>
        <v>0</v>
      </c>
      <c r="AG69" s="9">
        <f t="shared" si="69"/>
        <v>0</v>
      </c>
      <c r="AH69" s="9">
        <f t="shared" si="70"/>
        <v>0</v>
      </c>
      <c r="AI69" s="15">
        <f t="shared" si="71"/>
        <v>1</v>
      </c>
      <c r="AJ69" s="15">
        <f t="shared" si="72"/>
        <v>1</v>
      </c>
      <c r="AK69" s="15">
        <f t="shared" si="73"/>
        <v>1</v>
      </c>
      <c r="AL69" s="12">
        <f t="shared" si="74"/>
        <v>1</v>
      </c>
      <c r="AM69" s="12">
        <f t="shared" si="75"/>
        <v>1</v>
      </c>
      <c r="AN69" s="9">
        <f t="shared" si="76"/>
        <v>3</v>
      </c>
      <c r="AO69" s="9">
        <f t="shared" si="77"/>
        <v>2</v>
      </c>
      <c r="AP69" s="9">
        <f t="shared" si="78"/>
        <v>2</v>
      </c>
      <c r="AQ69" s="9">
        <f t="shared" si="79"/>
        <v>2</v>
      </c>
    </row>
    <row r="70">
      <c r="A70">
        <v>462</v>
      </c>
      <c r="B70" s="1" t="s">
        <v>150</v>
      </c>
      <c r="C70">
        <v>0</v>
      </c>
      <c r="D70">
        <v>0</v>
      </c>
      <c r="E70">
        <v>0</v>
      </c>
      <c r="F70" s="12">
        <f t="shared" si="54"/>
        <v>0</v>
      </c>
      <c r="G70" s="9">
        <f t="shared" si="83"/>
        <v>0</v>
      </c>
      <c r="H70" s="9">
        <f t="shared" si="55"/>
        <v>0</v>
      </c>
      <c r="I70" s="9">
        <f t="shared" si="56"/>
        <v>0</v>
      </c>
      <c r="J70" s="9">
        <f t="shared" si="57"/>
        <v>0</v>
      </c>
      <c r="K70">
        <v>0</v>
      </c>
      <c r="L70">
        <v>0</v>
      </c>
      <c r="M70">
        <v>0</v>
      </c>
      <c r="N70" s="12">
        <f t="shared" si="58"/>
        <v>0</v>
      </c>
      <c r="O70" s="9">
        <f t="shared" si="84"/>
        <v>0</v>
      </c>
      <c r="P70" s="9">
        <f t="shared" si="59"/>
        <v>0</v>
      </c>
      <c r="Q70" s="9">
        <f t="shared" si="60"/>
        <v>0</v>
      </c>
      <c r="R70" s="9">
        <f t="shared" si="61"/>
        <v>0</v>
      </c>
      <c r="S70">
        <v>0</v>
      </c>
      <c r="T70">
        <v>0</v>
      </c>
      <c r="U70">
        <v>0</v>
      </c>
      <c r="V70" s="12">
        <f t="shared" si="62"/>
        <v>0</v>
      </c>
      <c r="W70" s="9">
        <f t="shared" si="85"/>
        <v>0</v>
      </c>
      <c r="X70" s="9">
        <f t="shared" si="63"/>
        <v>0</v>
      </c>
      <c r="Y70" s="9">
        <f t="shared" si="64"/>
        <v>0</v>
      </c>
      <c r="Z70" s="9">
        <f t="shared" si="65"/>
        <v>0</v>
      </c>
      <c r="AA70">
        <v>1</v>
      </c>
      <c r="AB70">
        <v>1</v>
      </c>
      <c r="AC70">
        <v>1</v>
      </c>
      <c r="AD70" s="12">
        <f t="shared" si="66"/>
        <v>1</v>
      </c>
      <c r="AE70" s="9">
        <f t="shared" si="67"/>
        <v>3</v>
      </c>
      <c r="AF70" s="9">
        <f t="shared" si="68"/>
        <v>2</v>
      </c>
      <c r="AG70" s="9">
        <f t="shared" si="69"/>
        <v>2</v>
      </c>
      <c r="AH70" s="9">
        <f t="shared" si="70"/>
        <v>2</v>
      </c>
      <c r="AI70" s="15">
        <f t="shared" si="71"/>
        <v>1</v>
      </c>
      <c r="AJ70" s="15">
        <f t="shared" si="72"/>
        <v>1</v>
      </c>
      <c r="AK70" s="15">
        <f t="shared" si="73"/>
        <v>1</v>
      </c>
      <c r="AL70" s="12">
        <f t="shared" si="74"/>
        <v>1</v>
      </c>
      <c r="AM70" s="12">
        <f t="shared" si="75"/>
        <v>1</v>
      </c>
      <c r="AN70" s="9">
        <f t="shared" si="76"/>
        <v>3</v>
      </c>
      <c r="AO70" s="9">
        <f t="shared" si="77"/>
        <v>2</v>
      </c>
      <c r="AP70" s="9">
        <f t="shared" si="78"/>
        <v>2</v>
      </c>
      <c r="AQ70" s="9">
        <f t="shared" si="79"/>
        <v>2</v>
      </c>
    </row>
    <row r="71">
      <c r="A71">
        <v>467</v>
      </c>
      <c r="B71" s="1" t="s">
        <v>153</v>
      </c>
      <c r="C71">
        <v>0</v>
      </c>
      <c r="D71">
        <v>0</v>
      </c>
      <c r="E71">
        <v>0</v>
      </c>
      <c r="F71" s="12">
        <f t="shared" si="54"/>
        <v>0</v>
      </c>
      <c r="G71" s="9">
        <f t="shared" si="83"/>
        <v>0</v>
      </c>
      <c r="H71" s="9">
        <f t="shared" si="55"/>
        <v>0</v>
      </c>
      <c r="I71" s="9">
        <f t="shared" si="56"/>
        <v>0</v>
      </c>
      <c r="J71" s="9">
        <f t="shared" si="57"/>
        <v>0</v>
      </c>
      <c r="K71">
        <v>0</v>
      </c>
      <c r="L71">
        <v>0</v>
      </c>
      <c r="M71">
        <v>0</v>
      </c>
      <c r="N71" s="12">
        <f t="shared" si="58"/>
        <v>0</v>
      </c>
      <c r="O71" s="9">
        <f t="shared" si="84"/>
        <v>0</v>
      </c>
      <c r="P71" s="9">
        <f t="shared" si="59"/>
        <v>0</v>
      </c>
      <c r="Q71" s="9">
        <f t="shared" si="60"/>
        <v>0</v>
      </c>
      <c r="R71" s="9">
        <f t="shared" si="61"/>
        <v>0</v>
      </c>
      <c r="S71">
        <v>0</v>
      </c>
      <c r="T71">
        <v>0</v>
      </c>
      <c r="U71">
        <v>0</v>
      </c>
      <c r="V71" s="12">
        <f t="shared" si="62"/>
        <v>0</v>
      </c>
      <c r="W71" s="9">
        <f t="shared" si="85"/>
        <v>0</v>
      </c>
      <c r="X71" s="9">
        <f t="shared" si="63"/>
        <v>0</v>
      </c>
      <c r="Y71" s="9">
        <f t="shared" si="64"/>
        <v>0</v>
      </c>
      <c r="Z71" s="9">
        <f t="shared" si="65"/>
        <v>0</v>
      </c>
      <c r="AA71">
        <v>0</v>
      </c>
      <c r="AB71">
        <v>0</v>
      </c>
      <c r="AC71">
        <v>0</v>
      </c>
      <c r="AD71" s="12">
        <f t="shared" si="66"/>
        <v>0</v>
      </c>
      <c r="AE71" s="9">
        <f t="shared" si="67"/>
        <v>0</v>
      </c>
      <c r="AF71" s="9">
        <f t="shared" si="68"/>
        <v>0</v>
      </c>
      <c r="AG71" s="9">
        <f t="shared" si="69"/>
        <v>0</v>
      </c>
      <c r="AH71" s="9">
        <f t="shared" si="70"/>
        <v>0</v>
      </c>
      <c r="AI71" s="15">
        <f t="shared" si="71"/>
        <v>0</v>
      </c>
      <c r="AJ71" s="15">
        <f t="shared" si="72"/>
        <v>0</v>
      </c>
      <c r="AK71" s="15">
        <f t="shared" si="73"/>
        <v>0</v>
      </c>
      <c r="AL71" s="12">
        <f t="shared" si="74"/>
        <v>0</v>
      </c>
      <c r="AM71" s="12">
        <f t="shared" si="75"/>
        <v>0</v>
      </c>
      <c r="AN71" s="9">
        <f t="shared" si="76"/>
        <v>0</v>
      </c>
      <c r="AO71" s="9">
        <f t="shared" si="77"/>
        <v>0</v>
      </c>
      <c r="AP71" s="9">
        <f t="shared" si="78"/>
        <v>0</v>
      </c>
      <c r="AQ71" s="9">
        <f t="shared" si="79"/>
        <v>0</v>
      </c>
    </row>
    <row r="72">
      <c r="A72">
        <v>470</v>
      </c>
      <c r="B72" s="1" t="s">
        <v>154</v>
      </c>
      <c r="C72">
        <v>1</v>
      </c>
      <c r="D72">
        <v>1</v>
      </c>
      <c r="E72">
        <v>0</v>
      </c>
      <c r="F72" s="12">
        <f t="shared" si="54"/>
        <v>1</v>
      </c>
      <c r="G72" s="9">
        <f t="shared" si="83"/>
        <v>2</v>
      </c>
      <c r="H72" s="9">
        <f t="shared" si="55"/>
        <v>2</v>
      </c>
      <c r="I72" s="9">
        <f t="shared" si="56"/>
        <v>1</v>
      </c>
      <c r="J72" s="9">
        <f t="shared" si="57"/>
        <v>1</v>
      </c>
      <c r="K72">
        <v>0</v>
      </c>
      <c r="L72">
        <v>0</v>
      </c>
      <c r="M72">
        <v>0</v>
      </c>
      <c r="N72" s="12">
        <f t="shared" si="58"/>
        <v>0</v>
      </c>
      <c r="O72" s="9">
        <f t="shared" si="84"/>
        <v>0</v>
      </c>
      <c r="P72" s="9">
        <f t="shared" si="59"/>
        <v>0</v>
      </c>
      <c r="Q72" s="9">
        <f t="shared" si="60"/>
        <v>0</v>
      </c>
      <c r="R72" s="9">
        <f t="shared" si="61"/>
        <v>0</v>
      </c>
      <c r="S72">
        <v>0</v>
      </c>
      <c r="T72">
        <v>0</v>
      </c>
      <c r="U72">
        <v>0</v>
      </c>
      <c r="V72" s="12">
        <f t="shared" si="62"/>
        <v>0</v>
      </c>
      <c r="W72" s="9">
        <f t="shared" si="85"/>
        <v>0</v>
      </c>
      <c r="X72" s="9">
        <f t="shared" si="63"/>
        <v>0</v>
      </c>
      <c r="Y72" s="9">
        <f t="shared" si="64"/>
        <v>0</v>
      </c>
      <c r="Z72" s="9">
        <f t="shared" si="65"/>
        <v>0</v>
      </c>
      <c r="AA72">
        <v>0</v>
      </c>
      <c r="AB72">
        <v>0</v>
      </c>
      <c r="AC72">
        <v>0</v>
      </c>
      <c r="AD72" s="12">
        <f t="shared" si="66"/>
        <v>0</v>
      </c>
      <c r="AE72" s="9">
        <f t="shared" si="67"/>
        <v>0</v>
      </c>
      <c r="AF72" s="9">
        <f t="shared" si="68"/>
        <v>0</v>
      </c>
      <c r="AG72" s="9">
        <f t="shared" si="69"/>
        <v>0</v>
      </c>
      <c r="AH72" s="9">
        <f t="shared" si="70"/>
        <v>0</v>
      </c>
      <c r="AI72" s="15">
        <f t="shared" si="71"/>
        <v>1</v>
      </c>
      <c r="AJ72" s="15">
        <f t="shared" si="72"/>
        <v>1</v>
      </c>
      <c r="AK72" s="15">
        <f t="shared" si="73"/>
        <v>0</v>
      </c>
      <c r="AL72" s="12">
        <f t="shared" si="74"/>
        <v>1</v>
      </c>
      <c r="AM72" s="12">
        <f t="shared" si="75"/>
        <v>1</v>
      </c>
      <c r="AN72" s="9">
        <f t="shared" si="76"/>
        <v>2</v>
      </c>
      <c r="AO72" s="9">
        <f t="shared" si="77"/>
        <v>2</v>
      </c>
      <c r="AP72" s="9">
        <f t="shared" si="78"/>
        <v>1</v>
      </c>
      <c r="AQ72" s="9">
        <f t="shared" si="79"/>
        <v>1</v>
      </c>
    </row>
    <row r="73">
      <c r="A73">
        <v>475</v>
      </c>
      <c r="B73" s="1" t="s">
        <v>158</v>
      </c>
      <c r="C73">
        <v>0</v>
      </c>
      <c r="D73">
        <v>1</v>
      </c>
      <c r="E73">
        <v>0</v>
      </c>
      <c r="F73" s="12">
        <f t="shared" si="54"/>
        <v>0</v>
      </c>
      <c r="G73" s="9">
        <f t="shared" si="83"/>
        <v>1</v>
      </c>
      <c r="H73" s="9">
        <f t="shared" si="55"/>
        <v>1</v>
      </c>
      <c r="I73" s="9">
        <f t="shared" si="56"/>
        <v>0</v>
      </c>
      <c r="J73" s="9">
        <f t="shared" si="57"/>
        <v>1</v>
      </c>
      <c r="K73">
        <v>0</v>
      </c>
      <c r="L73">
        <v>0</v>
      </c>
      <c r="M73">
        <v>0</v>
      </c>
      <c r="N73" s="12">
        <f t="shared" si="58"/>
        <v>0</v>
      </c>
      <c r="O73" s="9">
        <f t="shared" si="84"/>
        <v>0</v>
      </c>
      <c r="P73" s="9">
        <f t="shared" si="59"/>
        <v>0</v>
      </c>
      <c r="Q73" s="9">
        <f t="shared" si="60"/>
        <v>0</v>
      </c>
      <c r="R73" s="9">
        <f t="shared" si="61"/>
        <v>0</v>
      </c>
      <c r="S73">
        <v>0</v>
      </c>
      <c r="T73">
        <v>0</v>
      </c>
      <c r="U73">
        <v>0</v>
      </c>
      <c r="V73" s="12">
        <f t="shared" si="62"/>
        <v>0</v>
      </c>
      <c r="W73" s="9">
        <f t="shared" si="85"/>
        <v>0</v>
      </c>
      <c r="X73" s="9">
        <f t="shared" si="63"/>
        <v>0</v>
      </c>
      <c r="Y73" s="9">
        <f t="shared" si="64"/>
        <v>0</v>
      </c>
      <c r="Z73" s="9">
        <f t="shared" si="65"/>
        <v>0</v>
      </c>
      <c r="AA73">
        <v>0</v>
      </c>
      <c r="AB73">
        <v>0</v>
      </c>
      <c r="AC73">
        <v>0</v>
      </c>
      <c r="AD73" s="12">
        <f t="shared" si="66"/>
        <v>0</v>
      </c>
      <c r="AE73" s="9">
        <f t="shared" si="67"/>
        <v>0</v>
      </c>
      <c r="AF73" s="9">
        <f t="shared" si="68"/>
        <v>0</v>
      </c>
      <c r="AG73" s="9">
        <f t="shared" si="69"/>
        <v>0</v>
      </c>
      <c r="AH73" s="9">
        <f t="shared" si="70"/>
        <v>0</v>
      </c>
      <c r="AI73" s="15">
        <f t="shared" si="71"/>
        <v>0</v>
      </c>
      <c r="AJ73" s="15">
        <f t="shared" si="72"/>
        <v>1</v>
      </c>
      <c r="AK73" s="15">
        <f t="shared" si="73"/>
        <v>0</v>
      </c>
      <c r="AL73" s="12">
        <f t="shared" si="74"/>
        <v>0</v>
      </c>
      <c r="AM73" s="12">
        <f t="shared" si="75"/>
        <v>0</v>
      </c>
      <c r="AN73" s="9">
        <f t="shared" si="76"/>
        <v>1</v>
      </c>
      <c r="AO73" s="9">
        <f t="shared" si="77"/>
        <v>1</v>
      </c>
      <c r="AP73" s="9">
        <f t="shared" si="78"/>
        <v>0</v>
      </c>
      <c r="AQ73" s="9">
        <f t="shared" si="79"/>
        <v>1</v>
      </c>
    </row>
    <row r="74">
      <c r="A74">
        <v>481</v>
      </c>
      <c r="B74" s="1" t="s">
        <v>161</v>
      </c>
      <c r="C74">
        <v>0</v>
      </c>
      <c r="D74">
        <v>0</v>
      </c>
      <c r="E74">
        <v>0</v>
      </c>
      <c r="F74" s="12">
        <f t="shared" si="54"/>
        <v>0</v>
      </c>
      <c r="G74" s="9">
        <f t="shared" si="83"/>
        <v>0</v>
      </c>
      <c r="H74" s="9">
        <f t="shared" si="55"/>
        <v>0</v>
      </c>
      <c r="I74" s="9">
        <f t="shared" si="56"/>
        <v>0</v>
      </c>
      <c r="J74" s="9">
        <f t="shared" si="57"/>
        <v>0</v>
      </c>
      <c r="K74">
        <v>0</v>
      </c>
      <c r="L74">
        <v>0</v>
      </c>
      <c r="M74">
        <v>0</v>
      </c>
      <c r="N74" s="12">
        <f t="shared" si="58"/>
        <v>0</v>
      </c>
      <c r="O74" s="9">
        <f t="shared" si="84"/>
        <v>0</v>
      </c>
      <c r="P74" s="9">
        <f t="shared" si="59"/>
        <v>0</v>
      </c>
      <c r="Q74" s="9">
        <f t="shared" si="60"/>
        <v>0</v>
      </c>
      <c r="R74" s="9">
        <f t="shared" si="61"/>
        <v>0</v>
      </c>
      <c r="S74">
        <v>0</v>
      </c>
      <c r="T74">
        <v>0</v>
      </c>
      <c r="U74">
        <v>0</v>
      </c>
      <c r="V74" s="12">
        <f t="shared" si="62"/>
        <v>0</v>
      </c>
      <c r="W74" s="9">
        <f t="shared" si="85"/>
        <v>0</v>
      </c>
      <c r="X74" s="9">
        <f t="shared" si="63"/>
        <v>0</v>
      </c>
      <c r="Y74" s="9">
        <f t="shared" si="64"/>
        <v>0</v>
      </c>
      <c r="Z74" s="9">
        <f t="shared" si="65"/>
        <v>0</v>
      </c>
      <c r="AA74">
        <v>0</v>
      </c>
      <c r="AB74">
        <v>0</v>
      </c>
      <c r="AC74">
        <v>0</v>
      </c>
      <c r="AD74" s="12">
        <f t="shared" si="66"/>
        <v>0</v>
      </c>
      <c r="AE74" s="9">
        <f t="shared" si="67"/>
        <v>0</v>
      </c>
      <c r="AF74" s="9">
        <f t="shared" si="68"/>
        <v>0</v>
      </c>
      <c r="AG74" s="9">
        <f t="shared" si="69"/>
        <v>0</v>
      </c>
      <c r="AH74" s="9">
        <f t="shared" si="70"/>
        <v>0</v>
      </c>
      <c r="AI74" s="15">
        <f t="shared" si="71"/>
        <v>0</v>
      </c>
      <c r="AJ74" s="15">
        <f t="shared" si="72"/>
        <v>0</v>
      </c>
      <c r="AK74" s="15">
        <f t="shared" si="73"/>
        <v>0</v>
      </c>
      <c r="AL74" s="12">
        <f t="shared" si="74"/>
        <v>0</v>
      </c>
      <c r="AM74" s="12">
        <f t="shared" si="75"/>
        <v>0</v>
      </c>
      <c r="AN74" s="9">
        <f t="shared" si="76"/>
        <v>0</v>
      </c>
      <c r="AO74" s="9">
        <f t="shared" si="77"/>
        <v>0</v>
      </c>
      <c r="AP74" s="9">
        <f t="shared" si="78"/>
        <v>0</v>
      </c>
      <c r="AQ74" s="9">
        <f t="shared" si="79"/>
        <v>0</v>
      </c>
    </row>
    <row r="75">
      <c r="A75">
        <v>482</v>
      </c>
      <c r="B75" s="1" t="s">
        <v>162</v>
      </c>
      <c r="C75">
        <v>0</v>
      </c>
      <c r="D75">
        <v>0</v>
      </c>
      <c r="E75">
        <v>0</v>
      </c>
      <c r="F75" s="12">
        <f t="shared" si="54"/>
        <v>0</v>
      </c>
      <c r="G75" s="9">
        <f t="shared" si="83"/>
        <v>0</v>
      </c>
      <c r="H75" s="9">
        <f t="shared" si="55"/>
        <v>0</v>
      </c>
      <c r="I75" s="9">
        <f t="shared" si="56"/>
        <v>0</v>
      </c>
      <c r="J75" s="9">
        <f t="shared" si="57"/>
        <v>0</v>
      </c>
      <c r="K75">
        <v>0</v>
      </c>
      <c r="L75">
        <v>1</v>
      </c>
      <c r="M75">
        <v>0</v>
      </c>
      <c r="N75" s="12">
        <f t="shared" si="58"/>
        <v>0</v>
      </c>
      <c r="O75" s="9">
        <f t="shared" si="84"/>
        <v>1</v>
      </c>
      <c r="P75" s="9">
        <f t="shared" si="59"/>
        <v>1</v>
      </c>
      <c r="Q75" s="9">
        <f t="shared" si="60"/>
        <v>0</v>
      </c>
      <c r="R75" s="9">
        <f t="shared" si="61"/>
        <v>1</v>
      </c>
      <c r="S75">
        <v>0</v>
      </c>
      <c r="T75">
        <v>0</v>
      </c>
      <c r="U75">
        <v>0</v>
      </c>
      <c r="V75" s="12">
        <f t="shared" si="62"/>
        <v>0</v>
      </c>
      <c r="W75" s="9">
        <f t="shared" si="85"/>
        <v>0</v>
      </c>
      <c r="X75" s="9">
        <f t="shared" si="63"/>
        <v>0</v>
      </c>
      <c r="Y75" s="9">
        <f t="shared" si="64"/>
        <v>0</v>
      </c>
      <c r="Z75" s="9">
        <f t="shared" si="65"/>
        <v>0</v>
      </c>
      <c r="AA75">
        <v>0</v>
      </c>
      <c r="AB75">
        <v>0</v>
      </c>
      <c r="AC75">
        <v>0</v>
      </c>
      <c r="AD75" s="12">
        <f t="shared" si="66"/>
        <v>0</v>
      </c>
      <c r="AE75" s="9">
        <f t="shared" si="67"/>
        <v>0</v>
      </c>
      <c r="AF75" s="9">
        <f t="shared" si="68"/>
        <v>0</v>
      </c>
      <c r="AG75" s="9">
        <f t="shared" si="69"/>
        <v>0</v>
      </c>
      <c r="AH75" s="9">
        <f t="shared" si="70"/>
        <v>0</v>
      </c>
      <c r="AI75" s="15">
        <f t="shared" si="71"/>
        <v>0</v>
      </c>
      <c r="AJ75" s="15">
        <f t="shared" si="72"/>
        <v>1</v>
      </c>
      <c r="AK75" s="15">
        <f t="shared" si="73"/>
        <v>0</v>
      </c>
      <c r="AL75" s="12">
        <f t="shared" si="74"/>
        <v>0</v>
      </c>
      <c r="AM75" s="12">
        <f t="shared" si="75"/>
        <v>0</v>
      </c>
      <c r="AN75" s="9">
        <f t="shared" si="76"/>
        <v>1</v>
      </c>
      <c r="AO75" s="9">
        <f t="shared" si="77"/>
        <v>1</v>
      </c>
      <c r="AP75" s="9">
        <f t="shared" si="78"/>
        <v>0</v>
      </c>
      <c r="AQ75" s="9">
        <f t="shared" si="79"/>
        <v>1</v>
      </c>
    </row>
    <row r="76">
      <c r="A76">
        <v>485</v>
      </c>
      <c r="B76" s="1" t="s">
        <v>163</v>
      </c>
      <c r="C76">
        <v>1</v>
      </c>
      <c r="D76">
        <v>1</v>
      </c>
      <c r="E76">
        <v>1</v>
      </c>
      <c r="F76" s="12">
        <f t="shared" si="54"/>
        <v>1</v>
      </c>
      <c r="G76" s="9">
        <f t="shared" si="83"/>
        <v>3</v>
      </c>
      <c r="H76" s="9">
        <f t="shared" si="55"/>
        <v>2</v>
      </c>
      <c r="I76" s="9">
        <f t="shared" si="56"/>
        <v>2</v>
      </c>
      <c r="J76" s="9">
        <f t="shared" si="57"/>
        <v>2</v>
      </c>
      <c r="K76">
        <v>0</v>
      </c>
      <c r="L76">
        <v>0</v>
      </c>
      <c r="M76">
        <v>0</v>
      </c>
      <c r="N76" s="12">
        <f t="shared" si="58"/>
        <v>0</v>
      </c>
      <c r="O76" s="9">
        <f t="shared" si="84"/>
        <v>0</v>
      </c>
      <c r="P76" s="9">
        <f t="shared" si="59"/>
        <v>0</v>
      </c>
      <c r="Q76" s="9">
        <f t="shared" si="60"/>
        <v>0</v>
      </c>
      <c r="R76" s="9">
        <f t="shared" si="61"/>
        <v>0</v>
      </c>
      <c r="S76">
        <v>0</v>
      </c>
      <c r="T76">
        <v>0</v>
      </c>
      <c r="U76">
        <v>0</v>
      </c>
      <c r="V76" s="12">
        <f t="shared" si="62"/>
        <v>0</v>
      </c>
      <c r="W76" s="9">
        <f t="shared" si="85"/>
        <v>0</v>
      </c>
      <c r="X76" s="9">
        <f t="shared" si="63"/>
        <v>0</v>
      </c>
      <c r="Y76" s="9">
        <f t="shared" si="64"/>
        <v>0</v>
      </c>
      <c r="Z76" s="9">
        <f t="shared" si="65"/>
        <v>0</v>
      </c>
      <c r="AA76">
        <v>0</v>
      </c>
      <c r="AB76">
        <v>0</v>
      </c>
      <c r="AC76">
        <v>0</v>
      </c>
      <c r="AD76" s="12">
        <f t="shared" si="66"/>
        <v>0</v>
      </c>
      <c r="AE76" s="9">
        <f t="shared" si="67"/>
        <v>0</v>
      </c>
      <c r="AF76" s="9">
        <f t="shared" si="68"/>
        <v>0</v>
      </c>
      <c r="AG76" s="9">
        <f t="shared" si="69"/>
        <v>0</v>
      </c>
      <c r="AH76" s="9">
        <f t="shared" si="70"/>
        <v>0</v>
      </c>
      <c r="AI76" s="15">
        <f t="shared" si="71"/>
        <v>1</v>
      </c>
      <c r="AJ76" s="15">
        <f t="shared" si="72"/>
        <v>1</v>
      </c>
      <c r="AK76" s="15">
        <f t="shared" si="73"/>
        <v>1</v>
      </c>
      <c r="AL76" s="12">
        <f t="shared" si="74"/>
        <v>1</v>
      </c>
      <c r="AM76" s="12">
        <f t="shared" si="75"/>
        <v>1</v>
      </c>
      <c r="AN76" s="9">
        <f t="shared" si="76"/>
        <v>3</v>
      </c>
      <c r="AO76" s="9">
        <f t="shared" si="77"/>
        <v>2</v>
      </c>
      <c r="AP76" s="9">
        <f t="shared" si="78"/>
        <v>2</v>
      </c>
      <c r="AQ76" s="9">
        <f t="shared" si="79"/>
        <v>2</v>
      </c>
    </row>
    <row r="77" ht="29.100000000000001">
      <c r="A77">
        <v>490</v>
      </c>
      <c r="B77" s="1" t="s">
        <v>166</v>
      </c>
      <c r="C77">
        <v>1</v>
      </c>
      <c r="D77">
        <v>1</v>
      </c>
      <c r="E77">
        <v>1</v>
      </c>
      <c r="F77" s="12">
        <f t="shared" si="54"/>
        <v>1</v>
      </c>
      <c r="G77" s="9">
        <f t="shared" si="83"/>
        <v>3</v>
      </c>
      <c r="H77" s="9">
        <f t="shared" si="55"/>
        <v>2</v>
      </c>
      <c r="I77" s="9">
        <f t="shared" si="56"/>
        <v>2</v>
      </c>
      <c r="J77" s="9">
        <f t="shared" si="57"/>
        <v>2</v>
      </c>
      <c r="K77">
        <v>0</v>
      </c>
      <c r="L77">
        <v>0</v>
      </c>
      <c r="M77">
        <v>0</v>
      </c>
      <c r="N77" s="12">
        <f t="shared" si="58"/>
        <v>0</v>
      </c>
      <c r="O77" s="9">
        <f t="shared" si="84"/>
        <v>0</v>
      </c>
      <c r="P77" s="9">
        <f t="shared" si="59"/>
        <v>0</v>
      </c>
      <c r="Q77" s="9">
        <f t="shared" si="60"/>
        <v>0</v>
      </c>
      <c r="R77" s="9">
        <f t="shared" si="61"/>
        <v>0</v>
      </c>
      <c r="S77">
        <v>0</v>
      </c>
      <c r="T77">
        <v>0</v>
      </c>
      <c r="U77">
        <v>0</v>
      </c>
      <c r="V77" s="12">
        <f t="shared" si="62"/>
        <v>0</v>
      </c>
      <c r="W77" s="9">
        <f t="shared" si="85"/>
        <v>0</v>
      </c>
      <c r="X77" s="9">
        <f t="shared" si="63"/>
        <v>0</v>
      </c>
      <c r="Y77" s="9">
        <f t="shared" si="64"/>
        <v>0</v>
      </c>
      <c r="Z77" s="9">
        <f t="shared" si="65"/>
        <v>0</v>
      </c>
      <c r="AA77">
        <v>0</v>
      </c>
      <c r="AB77">
        <v>0</v>
      </c>
      <c r="AC77">
        <v>0</v>
      </c>
      <c r="AD77" s="12">
        <f t="shared" si="66"/>
        <v>0</v>
      </c>
      <c r="AE77" s="9">
        <f t="shared" si="67"/>
        <v>0</v>
      </c>
      <c r="AF77" s="9">
        <f t="shared" si="68"/>
        <v>0</v>
      </c>
      <c r="AG77" s="9">
        <f t="shared" si="69"/>
        <v>0</v>
      </c>
      <c r="AH77" s="9">
        <f t="shared" si="70"/>
        <v>0</v>
      </c>
      <c r="AI77" s="15">
        <f t="shared" si="71"/>
        <v>1</v>
      </c>
      <c r="AJ77" s="15">
        <f t="shared" si="72"/>
        <v>1</v>
      </c>
      <c r="AK77" s="15">
        <f t="shared" si="73"/>
        <v>1</v>
      </c>
      <c r="AL77" s="12">
        <f t="shared" si="74"/>
        <v>1</v>
      </c>
      <c r="AM77" s="12">
        <f t="shared" si="75"/>
        <v>1</v>
      </c>
      <c r="AN77" s="9">
        <f t="shared" si="76"/>
        <v>3</v>
      </c>
      <c r="AO77" s="9">
        <f t="shared" si="77"/>
        <v>2</v>
      </c>
      <c r="AP77" s="9">
        <f t="shared" si="78"/>
        <v>2</v>
      </c>
      <c r="AQ77" s="9">
        <f t="shared" si="79"/>
        <v>2</v>
      </c>
    </row>
    <row r="78">
      <c r="A78">
        <v>491</v>
      </c>
      <c r="B78" s="1" t="s">
        <v>167</v>
      </c>
      <c r="C78">
        <v>1</v>
      </c>
      <c r="D78">
        <v>1</v>
      </c>
      <c r="E78">
        <v>0</v>
      </c>
      <c r="F78" s="12">
        <f t="shared" si="54"/>
        <v>1</v>
      </c>
      <c r="G78" s="9">
        <f t="shared" si="83"/>
        <v>2</v>
      </c>
      <c r="H78" s="9">
        <f t="shared" si="55"/>
        <v>2</v>
      </c>
      <c r="I78" s="9">
        <f t="shared" si="56"/>
        <v>1</v>
      </c>
      <c r="J78" s="9">
        <f t="shared" si="57"/>
        <v>1</v>
      </c>
      <c r="K78">
        <v>0</v>
      </c>
      <c r="L78">
        <v>0</v>
      </c>
      <c r="M78">
        <v>0</v>
      </c>
      <c r="N78" s="12">
        <f t="shared" si="58"/>
        <v>0</v>
      </c>
      <c r="O78" s="9">
        <f t="shared" si="84"/>
        <v>0</v>
      </c>
      <c r="P78" s="9">
        <f t="shared" si="59"/>
        <v>0</v>
      </c>
      <c r="Q78" s="9">
        <f t="shared" si="60"/>
        <v>0</v>
      </c>
      <c r="R78" s="9">
        <f t="shared" si="61"/>
        <v>0</v>
      </c>
      <c r="S78">
        <v>0</v>
      </c>
      <c r="T78">
        <v>0</v>
      </c>
      <c r="U78">
        <v>0</v>
      </c>
      <c r="V78" s="12">
        <f t="shared" si="62"/>
        <v>0</v>
      </c>
      <c r="W78" s="9">
        <f t="shared" si="85"/>
        <v>0</v>
      </c>
      <c r="X78" s="9">
        <f t="shared" si="63"/>
        <v>0</v>
      </c>
      <c r="Y78" s="9">
        <f t="shared" si="64"/>
        <v>0</v>
      </c>
      <c r="Z78" s="9">
        <f t="shared" si="65"/>
        <v>0</v>
      </c>
      <c r="AA78">
        <v>0</v>
      </c>
      <c r="AB78">
        <v>0</v>
      </c>
      <c r="AC78">
        <v>0</v>
      </c>
      <c r="AD78" s="12">
        <f t="shared" si="66"/>
        <v>0</v>
      </c>
      <c r="AE78" s="9">
        <f t="shared" si="67"/>
        <v>0</v>
      </c>
      <c r="AF78" s="9">
        <f t="shared" si="68"/>
        <v>0</v>
      </c>
      <c r="AG78" s="9">
        <f t="shared" si="69"/>
        <v>0</v>
      </c>
      <c r="AH78" s="9">
        <f t="shared" si="70"/>
        <v>0</v>
      </c>
      <c r="AI78" s="15">
        <f t="shared" si="71"/>
        <v>1</v>
      </c>
      <c r="AJ78" s="15">
        <f t="shared" si="72"/>
        <v>1</v>
      </c>
      <c r="AK78" s="15">
        <f t="shared" si="73"/>
        <v>0</v>
      </c>
      <c r="AL78" s="12">
        <f t="shared" si="74"/>
        <v>1</v>
      </c>
      <c r="AM78" s="12">
        <f t="shared" si="75"/>
        <v>1</v>
      </c>
      <c r="AN78" s="9">
        <f t="shared" si="76"/>
        <v>2</v>
      </c>
      <c r="AO78" s="9">
        <f t="shared" si="77"/>
        <v>2</v>
      </c>
      <c r="AP78" s="9">
        <f t="shared" si="78"/>
        <v>1</v>
      </c>
      <c r="AQ78" s="9">
        <f t="shared" si="79"/>
        <v>1</v>
      </c>
    </row>
    <row r="79">
      <c r="A79">
        <v>492</v>
      </c>
      <c r="B79" s="1" t="s">
        <v>168</v>
      </c>
      <c r="C79">
        <v>0</v>
      </c>
      <c r="D79">
        <v>1</v>
      </c>
      <c r="E79">
        <v>0</v>
      </c>
      <c r="F79" s="12">
        <f t="shared" si="54"/>
        <v>0</v>
      </c>
      <c r="G79" s="9">
        <f t="shared" si="83"/>
        <v>1</v>
      </c>
      <c r="H79" s="9">
        <f t="shared" si="55"/>
        <v>1</v>
      </c>
      <c r="I79" s="9">
        <f t="shared" si="56"/>
        <v>0</v>
      </c>
      <c r="J79" s="9">
        <f t="shared" si="57"/>
        <v>1</v>
      </c>
      <c r="K79">
        <v>0</v>
      </c>
      <c r="L79">
        <v>0</v>
      </c>
      <c r="M79">
        <v>0</v>
      </c>
      <c r="N79" s="12">
        <f t="shared" si="58"/>
        <v>0</v>
      </c>
      <c r="O79" s="9">
        <f t="shared" si="84"/>
        <v>0</v>
      </c>
      <c r="P79" s="9">
        <f t="shared" si="59"/>
        <v>0</v>
      </c>
      <c r="Q79" s="9">
        <f t="shared" si="60"/>
        <v>0</v>
      </c>
      <c r="R79" s="9">
        <f t="shared" si="61"/>
        <v>0</v>
      </c>
      <c r="S79">
        <v>1</v>
      </c>
      <c r="T79">
        <v>0</v>
      </c>
      <c r="U79">
        <v>1</v>
      </c>
      <c r="V79" s="12">
        <f t="shared" si="62"/>
        <v>1</v>
      </c>
      <c r="W79" s="9">
        <f t="shared" si="85"/>
        <v>2</v>
      </c>
      <c r="X79" s="9">
        <f t="shared" si="63"/>
        <v>1</v>
      </c>
      <c r="Y79" s="9">
        <f t="shared" si="64"/>
        <v>2</v>
      </c>
      <c r="Z79" s="9">
        <f t="shared" si="65"/>
        <v>1</v>
      </c>
      <c r="AA79">
        <v>0</v>
      </c>
      <c r="AB79">
        <v>0</v>
      </c>
      <c r="AC79">
        <v>0</v>
      </c>
      <c r="AD79" s="12">
        <f t="shared" si="66"/>
        <v>0</v>
      </c>
      <c r="AE79" s="9">
        <f t="shared" si="67"/>
        <v>0</v>
      </c>
      <c r="AF79" s="9">
        <f t="shared" si="68"/>
        <v>0</v>
      </c>
      <c r="AG79" s="9">
        <f t="shared" si="69"/>
        <v>0</v>
      </c>
      <c r="AH79" s="9">
        <f t="shared" si="70"/>
        <v>0</v>
      </c>
      <c r="AI79" s="15">
        <f t="shared" si="71"/>
        <v>1</v>
      </c>
      <c r="AJ79" s="15">
        <f t="shared" si="72"/>
        <v>1</v>
      </c>
      <c r="AK79" s="15">
        <f t="shared" si="73"/>
        <v>1</v>
      </c>
      <c r="AL79" s="12">
        <f t="shared" si="74"/>
        <v>1</v>
      </c>
      <c r="AM79" s="12">
        <f t="shared" si="75"/>
        <v>1</v>
      </c>
      <c r="AN79" s="9">
        <f t="shared" si="76"/>
        <v>3</v>
      </c>
      <c r="AO79" s="9">
        <f t="shared" si="77"/>
        <v>2</v>
      </c>
      <c r="AP79" s="9">
        <f t="shared" si="78"/>
        <v>2</v>
      </c>
      <c r="AQ79" s="9">
        <f t="shared" si="79"/>
        <v>2</v>
      </c>
    </row>
    <row r="80">
      <c r="A80">
        <v>496</v>
      </c>
      <c r="B80" s="1" t="s">
        <v>172</v>
      </c>
      <c r="C80">
        <v>0</v>
      </c>
      <c r="D80">
        <v>0</v>
      </c>
      <c r="E80">
        <v>0</v>
      </c>
      <c r="F80" s="12">
        <f t="shared" si="54"/>
        <v>0</v>
      </c>
      <c r="G80" s="9">
        <f t="shared" si="83"/>
        <v>0</v>
      </c>
      <c r="H80" s="9">
        <f t="shared" si="55"/>
        <v>0</v>
      </c>
      <c r="I80" s="9">
        <f t="shared" si="56"/>
        <v>0</v>
      </c>
      <c r="J80" s="9">
        <f t="shared" si="57"/>
        <v>0</v>
      </c>
      <c r="K80">
        <v>0</v>
      </c>
      <c r="L80">
        <v>0</v>
      </c>
      <c r="M80">
        <v>0</v>
      </c>
      <c r="N80" s="12">
        <f t="shared" si="58"/>
        <v>0</v>
      </c>
      <c r="O80" s="9">
        <f t="shared" si="84"/>
        <v>0</v>
      </c>
      <c r="P80" s="9">
        <f t="shared" si="59"/>
        <v>0</v>
      </c>
      <c r="Q80" s="9">
        <f t="shared" si="60"/>
        <v>0</v>
      </c>
      <c r="R80" s="9">
        <f t="shared" si="61"/>
        <v>0</v>
      </c>
      <c r="S80">
        <v>0</v>
      </c>
      <c r="T80">
        <v>1</v>
      </c>
      <c r="U80">
        <v>0</v>
      </c>
      <c r="V80" s="12">
        <f t="shared" si="62"/>
        <v>0</v>
      </c>
      <c r="W80" s="9">
        <f t="shared" si="85"/>
        <v>1</v>
      </c>
      <c r="X80" s="9">
        <f t="shared" si="63"/>
        <v>1</v>
      </c>
      <c r="Y80" s="9">
        <f t="shared" si="64"/>
        <v>0</v>
      </c>
      <c r="Z80" s="9">
        <f t="shared" si="65"/>
        <v>1</v>
      </c>
      <c r="AA80">
        <v>0</v>
      </c>
      <c r="AB80">
        <v>0</v>
      </c>
      <c r="AC80">
        <v>0</v>
      </c>
      <c r="AD80" s="12">
        <f t="shared" si="66"/>
        <v>0</v>
      </c>
      <c r="AE80" s="9">
        <f t="shared" si="67"/>
        <v>0</v>
      </c>
      <c r="AF80" s="9">
        <f t="shared" si="68"/>
        <v>0</v>
      </c>
      <c r="AG80" s="9">
        <f t="shared" si="69"/>
        <v>0</v>
      </c>
      <c r="AH80" s="9">
        <f t="shared" si="70"/>
        <v>0</v>
      </c>
      <c r="AI80" s="15">
        <f t="shared" si="71"/>
        <v>0</v>
      </c>
      <c r="AJ80" s="15">
        <f t="shared" si="72"/>
        <v>1</v>
      </c>
      <c r="AK80" s="15">
        <f t="shared" si="73"/>
        <v>0</v>
      </c>
      <c r="AL80" s="12">
        <f t="shared" si="74"/>
        <v>0</v>
      </c>
      <c r="AM80" s="12">
        <f t="shared" si="75"/>
        <v>0</v>
      </c>
      <c r="AN80" s="9">
        <f t="shared" si="76"/>
        <v>1</v>
      </c>
      <c r="AO80" s="9">
        <f t="shared" si="77"/>
        <v>1</v>
      </c>
      <c r="AP80" s="9">
        <f t="shared" si="78"/>
        <v>0</v>
      </c>
      <c r="AQ80" s="9">
        <f t="shared" si="79"/>
        <v>1</v>
      </c>
    </row>
    <row r="81">
      <c r="A81">
        <v>503</v>
      </c>
      <c r="B81" s="1" t="s">
        <v>173</v>
      </c>
      <c r="C81">
        <v>0</v>
      </c>
      <c r="D81">
        <v>0</v>
      </c>
      <c r="E81">
        <v>0</v>
      </c>
      <c r="F81" s="12">
        <f t="shared" si="54"/>
        <v>0</v>
      </c>
      <c r="G81" s="9">
        <f t="shared" si="83"/>
        <v>0</v>
      </c>
      <c r="H81" s="9">
        <f t="shared" si="55"/>
        <v>0</v>
      </c>
      <c r="I81" s="9">
        <f t="shared" si="56"/>
        <v>0</v>
      </c>
      <c r="J81" s="9">
        <f t="shared" si="57"/>
        <v>0</v>
      </c>
      <c r="K81">
        <v>0</v>
      </c>
      <c r="L81">
        <v>0</v>
      </c>
      <c r="M81">
        <v>0</v>
      </c>
      <c r="N81" s="12">
        <f t="shared" si="58"/>
        <v>0</v>
      </c>
      <c r="O81" s="9">
        <f t="shared" si="84"/>
        <v>0</v>
      </c>
      <c r="P81" s="9">
        <f t="shared" si="59"/>
        <v>0</v>
      </c>
      <c r="Q81" s="9">
        <f t="shared" si="60"/>
        <v>0</v>
      </c>
      <c r="R81" s="9">
        <f t="shared" si="61"/>
        <v>0</v>
      </c>
      <c r="S81">
        <v>0</v>
      </c>
      <c r="T81">
        <v>0</v>
      </c>
      <c r="U81">
        <v>0</v>
      </c>
      <c r="V81" s="12">
        <f t="shared" si="62"/>
        <v>0</v>
      </c>
      <c r="W81" s="9">
        <f t="shared" si="85"/>
        <v>0</v>
      </c>
      <c r="X81" s="9">
        <f t="shared" si="63"/>
        <v>0</v>
      </c>
      <c r="Y81" s="9">
        <f t="shared" si="64"/>
        <v>0</v>
      </c>
      <c r="Z81" s="9">
        <f t="shared" si="65"/>
        <v>0</v>
      </c>
      <c r="AA81">
        <v>0</v>
      </c>
      <c r="AB81">
        <v>0</v>
      </c>
      <c r="AC81">
        <v>0</v>
      </c>
      <c r="AD81" s="12">
        <f t="shared" si="66"/>
        <v>0</v>
      </c>
      <c r="AE81" s="9">
        <f t="shared" si="67"/>
        <v>0</v>
      </c>
      <c r="AF81" s="9">
        <f t="shared" si="68"/>
        <v>0</v>
      </c>
      <c r="AG81" s="9">
        <f t="shared" si="69"/>
        <v>0</v>
      </c>
      <c r="AH81" s="9">
        <f t="shared" si="70"/>
        <v>0</v>
      </c>
      <c r="AI81" s="15">
        <f t="shared" si="71"/>
        <v>0</v>
      </c>
      <c r="AJ81" s="15">
        <f t="shared" si="72"/>
        <v>0</v>
      </c>
      <c r="AK81" s="15">
        <f t="shared" si="73"/>
        <v>0</v>
      </c>
      <c r="AL81" s="12">
        <f t="shared" si="74"/>
        <v>0</v>
      </c>
      <c r="AM81" s="12">
        <f t="shared" si="75"/>
        <v>0</v>
      </c>
      <c r="AN81" s="9">
        <f t="shared" si="76"/>
        <v>0</v>
      </c>
      <c r="AO81" s="9">
        <f t="shared" si="77"/>
        <v>0</v>
      </c>
      <c r="AP81" s="9">
        <f t="shared" si="78"/>
        <v>0</v>
      </c>
      <c r="AQ81" s="9">
        <f t="shared" si="79"/>
        <v>0</v>
      </c>
    </row>
    <row r="82">
      <c r="A82">
        <v>508</v>
      </c>
      <c r="B82" s="1" t="s">
        <v>174</v>
      </c>
      <c r="C82">
        <v>0</v>
      </c>
      <c r="D82">
        <v>0</v>
      </c>
      <c r="E82">
        <v>0</v>
      </c>
      <c r="F82" s="12">
        <f t="shared" si="54"/>
        <v>0</v>
      </c>
      <c r="G82" s="9">
        <f t="shared" si="83"/>
        <v>0</v>
      </c>
      <c r="H82" s="9">
        <f t="shared" si="55"/>
        <v>0</v>
      </c>
      <c r="I82" s="9">
        <f t="shared" si="56"/>
        <v>0</v>
      </c>
      <c r="J82" s="9">
        <f t="shared" si="57"/>
        <v>0</v>
      </c>
      <c r="K82">
        <v>0</v>
      </c>
      <c r="L82">
        <v>0</v>
      </c>
      <c r="M82">
        <v>0</v>
      </c>
      <c r="N82" s="12">
        <f t="shared" si="58"/>
        <v>0</v>
      </c>
      <c r="O82" s="9">
        <f t="shared" si="84"/>
        <v>0</v>
      </c>
      <c r="P82" s="9">
        <f t="shared" si="59"/>
        <v>0</v>
      </c>
      <c r="Q82" s="9">
        <f t="shared" si="60"/>
        <v>0</v>
      </c>
      <c r="R82" s="9">
        <f t="shared" si="61"/>
        <v>0</v>
      </c>
      <c r="S82">
        <v>0</v>
      </c>
      <c r="T82">
        <v>0</v>
      </c>
      <c r="U82">
        <v>0</v>
      </c>
      <c r="V82" s="12">
        <f t="shared" si="62"/>
        <v>0</v>
      </c>
      <c r="W82" s="9">
        <f t="shared" si="85"/>
        <v>0</v>
      </c>
      <c r="X82" s="9">
        <f t="shared" si="63"/>
        <v>0</v>
      </c>
      <c r="Y82" s="9">
        <f t="shared" si="64"/>
        <v>0</v>
      </c>
      <c r="Z82" s="9">
        <f t="shared" si="65"/>
        <v>0</v>
      </c>
      <c r="AA82">
        <v>0</v>
      </c>
      <c r="AB82">
        <v>0</v>
      </c>
      <c r="AC82">
        <v>0</v>
      </c>
      <c r="AD82" s="12">
        <f t="shared" si="66"/>
        <v>0</v>
      </c>
      <c r="AE82" s="9">
        <f t="shared" si="67"/>
        <v>0</v>
      </c>
      <c r="AF82" s="9">
        <f t="shared" si="68"/>
        <v>0</v>
      </c>
      <c r="AG82" s="9">
        <f t="shared" si="69"/>
        <v>0</v>
      </c>
      <c r="AH82" s="9">
        <f t="shared" si="70"/>
        <v>0</v>
      </c>
      <c r="AI82" s="15">
        <f t="shared" si="71"/>
        <v>0</v>
      </c>
      <c r="AJ82" s="15">
        <f t="shared" si="72"/>
        <v>0</v>
      </c>
      <c r="AK82" s="15">
        <f t="shared" si="73"/>
        <v>0</v>
      </c>
      <c r="AL82" s="12">
        <f t="shared" si="74"/>
        <v>0</v>
      </c>
      <c r="AM82" s="12">
        <f t="shared" si="75"/>
        <v>0</v>
      </c>
      <c r="AN82" s="9">
        <f t="shared" si="76"/>
        <v>0</v>
      </c>
      <c r="AO82" s="9">
        <f t="shared" si="77"/>
        <v>0</v>
      </c>
      <c r="AP82" s="9">
        <f t="shared" si="78"/>
        <v>0</v>
      </c>
      <c r="AQ82" s="9">
        <f t="shared" si="79"/>
        <v>0</v>
      </c>
    </row>
    <row r="83">
      <c r="A83">
        <v>509</v>
      </c>
      <c r="B83" s="1" t="s">
        <v>175</v>
      </c>
      <c r="C83">
        <v>0</v>
      </c>
      <c r="D83">
        <v>0</v>
      </c>
      <c r="E83">
        <v>0</v>
      </c>
      <c r="F83" s="12">
        <f t="shared" si="54"/>
        <v>0</v>
      </c>
      <c r="G83" s="9">
        <f t="shared" si="83"/>
        <v>0</v>
      </c>
      <c r="H83" s="9">
        <f t="shared" si="55"/>
        <v>0</v>
      </c>
      <c r="I83" s="9">
        <f t="shared" si="56"/>
        <v>0</v>
      </c>
      <c r="J83" s="9">
        <f t="shared" si="57"/>
        <v>0</v>
      </c>
      <c r="K83">
        <v>0</v>
      </c>
      <c r="L83">
        <v>0</v>
      </c>
      <c r="M83">
        <v>0</v>
      </c>
      <c r="N83" s="12">
        <f t="shared" si="58"/>
        <v>0</v>
      </c>
      <c r="O83" s="9">
        <f t="shared" si="84"/>
        <v>0</v>
      </c>
      <c r="P83" s="9">
        <f t="shared" si="59"/>
        <v>0</v>
      </c>
      <c r="Q83" s="9">
        <f t="shared" si="60"/>
        <v>0</v>
      </c>
      <c r="R83" s="9">
        <f t="shared" si="61"/>
        <v>0</v>
      </c>
      <c r="S83">
        <v>0</v>
      </c>
      <c r="T83">
        <v>0</v>
      </c>
      <c r="U83">
        <v>0</v>
      </c>
      <c r="V83" s="12">
        <f t="shared" si="62"/>
        <v>0</v>
      </c>
      <c r="W83" s="9">
        <f t="shared" si="85"/>
        <v>0</v>
      </c>
      <c r="X83" s="9">
        <f t="shared" si="63"/>
        <v>0</v>
      </c>
      <c r="Y83" s="9">
        <f t="shared" si="64"/>
        <v>0</v>
      </c>
      <c r="Z83" s="9">
        <f t="shared" si="65"/>
        <v>0</v>
      </c>
      <c r="AA83">
        <v>0</v>
      </c>
      <c r="AB83">
        <v>0</v>
      </c>
      <c r="AC83">
        <v>0</v>
      </c>
      <c r="AD83" s="12">
        <f t="shared" si="66"/>
        <v>0</v>
      </c>
      <c r="AE83" s="9">
        <f t="shared" si="67"/>
        <v>0</v>
      </c>
      <c r="AF83" s="9">
        <f t="shared" si="68"/>
        <v>0</v>
      </c>
      <c r="AG83" s="9">
        <f t="shared" si="69"/>
        <v>0</v>
      </c>
      <c r="AH83" s="9">
        <f t="shared" si="70"/>
        <v>0</v>
      </c>
      <c r="AI83" s="15">
        <f t="shared" si="71"/>
        <v>0</v>
      </c>
      <c r="AJ83" s="15">
        <f t="shared" si="72"/>
        <v>0</v>
      </c>
      <c r="AK83" s="15">
        <f t="shared" si="73"/>
        <v>0</v>
      </c>
      <c r="AL83" s="12">
        <f t="shared" si="74"/>
        <v>0</v>
      </c>
      <c r="AM83" s="12">
        <f t="shared" si="75"/>
        <v>0</v>
      </c>
      <c r="AN83" s="9">
        <f t="shared" si="76"/>
        <v>0</v>
      </c>
      <c r="AO83" s="9">
        <f t="shared" si="77"/>
        <v>0</v>
      </c>
      <c r="AP83" s="9">
        <f t="shared" si="78"/>
        <v>0</v>
      </c>
      <c r="AQ83" s="9">
        <f t="shared" si="79"/>
        <v>0</v>
      </c>
    </row>
    <row r="84">
      <c r="A84">
        <v>525</v>
      </c>
      <c r="B84" s="1" t="s">
        <v>176</v>
      </c>
      <c r="C84">
        <v>0</v>
      </c>
      <c r="D84">
        <v>0</v>
      </c>
      <c r="E84">
        <v>0</v>
      </c>
      <c r="F84" s="12">
        <f t="shared" si="54"/>
        <v>0</v>
      </c>
      <c r="G84" s="9">
        <f t="shared" si="83"/>
        <v>0</v>
      </c>
      <c r="H84" s="9">
        <f t="shared" si="55"/>
        <v>0</v>
      </c>
      <c r="I84" s="9">
        <f t="shared" si="56"/>
        <v>0</v>
      </c>
      <c r="J84" s="9">
        <f t="shared" si="57"/>
        <v>0</v>
      </c>
      <c r="K84">
        <v>0</v>
      </c>
      <c r="L84">
        <v>0</v>
      </c>
      <c r="M84">
        <v>0</v>
      </c>
      <c r="N84" s="12">
        <f t="shared" si="58"/>
        <v>0</v>
      </c>
      <c r="O84" s="9">
        <f t="shared" si="84"/>
        <v>0</v>
      </c>
      <c r="P84" s="9">
        <f t="shared" si="59"/>
        <v>0</v>
      </c>
      <c r="Q84" s="9">
        <f t="shared" si="60"/>
        <v>0</v>
      </c>
      <c r="R84" s="9">
        <f t="shared" si="61"/>
        <v>0</v>
      </c>
      <c r="S84">
        <v>0</v>
      </c>
      <c r="T84">
        <v>0</v>
      </c>
      <c r="U84">
        <v>0</v>
      </c>
      <c r="V84" s="12">
        <f t="shared" si="62"/>
        <v>0</v>
      </c>
      <c r="W84" s="9">
        <f t="shared" si="85"/>
        <v>0</v>
      </c>
      <c r="X84" s="9">
        <f t="shared" si="63"/>
        <v>0</v>
      </c>
      <c r="Y84" s="9">
        <f t="shared" si="64"/>
        <v>0</v>
      </c>
      <c r="Z84" s="9">
        <f t="shared" si="65"/>
        <v>0</v>
      </c>
      <c r="AA84">
        <v>0</v>
      </c>
      <c r="AB84">
        <v>0</v>
      </c>
      <c r="AC84">
        <v>0</v>
      </c>
      <c r="AD84" s="12">
        <f t="shared" si="66"/>
        <v>0</v>
      </c>
      <c r="AE84" s="9">
        <f t="shared" si="67"/>
        <v>0</v>
      </c>
      <c r="AF84" s="9">
        <f t="shared" si="68"/>
        <v>0</v>
      </c>
      <c r="AG84" s="9">
        <f t="shared" si="69"/>
        <v>0</v>
      </c>
      <c r="AH84" s="9">
        <f t="shared" si="70"/>
        <v>0</v>
      </c>
      <c r="AI84" s="15">
        <f t="shared" si="71"/>
        <v>0</v>
      </c>
      <c r="AJ84" s="15">
        <f t="shared" si="72"/>
        <v>0</v>
      </c>
      <c r="AK84" s="15">
        <f t="shared" si="73"/>
        <v>0</v>
      </c>
      <c r="AL84" s="12">
        <f t="shared" si="74"/>
        <v>0</v>
      </c>
      <c r="AM84" s="12">
        <f t="shared" si="75"/>
        <v>0</v>
      </c>
      <c r="AN84" s="9">
        <f t="shared" si="76"/>
        <v>0</v>
      </c>
      <c r="AO84" s="9">
        <f t="shared" si="77"/>
        <v>0</v>
      </c>
      <c r="AP84" s="9">
        <f t="shared" si="78"/>
        <v>0</v>
      </c>
      <c r="AQ84" s="9">
        <f t="shared" si="79"/>
        <v>0</v>
      </c>
    </row>
    <row r="85">
      <c r="A85">
        <v>527</v>
      </c>
      <c r="B85" s="1" t="s">
        <v>177</v>
      </c>
      <c r="C85">
        <v>0</v>
      </c>
      <c r="D85">
        <v>0</v>
      </c>
      <c r="E85">
        <v>0</v>
      </c>
      <c r="F85" s="12">
        <f t="shared" si="54"/>
        <v>0</v>
      </c>
      <c r="G85" s="9">
        <f t="shared" si="83"/>
        <v>0</v>
      </c>
      <c r="H85" s="9">
        <f t="shared" si="55"/>
        <v>0</v>
      </c>
      <c r="I85" s="9">
        <f t="shared" si="56"/>
        <v>0</v>
      </c>
      <c r="J85" s="9">
        <f t="shared" si="57"/>
        <v>0</v>
      </c>
      <c r="K85">
        <v>0</v>
      </c>
      <c r="L85">
        <v>0</v>
      </c>
      <c r="M85">
        <v>0</v>
      </c>
      <c r="N85" s="12">
        <f t="shared" si="58"/>
        <v>0</v>
      </c>
      <c r="O85" s="9">
        <f t="shared" si="84"/>
        <v>0</v>
      </c>
      <c r="P85" s="9">
        <f t="shared" si="59"/>
        <v>0</v>
      </c>
      <c r="Q85" s="9">
        <f t="shared" si="60"/>
        <v>0</v>
      </c>
      <c r="R85" s="9">
        <f t="shared" si="61"/>
        <v>0</v>
      </c>
      <c r="S85">
        <v>0</v>
      </c>
      <c r="T85">
        <v>0</v>
      </c>
      <c r="U85">
        <v>0</v>
      </c>
      <c r="V85" s="12">
        <f t="shared" si="62"/>
        <v>0</v>
      </c>
      <c r="W85" s="9">
        <f t="shared" si="85"/>
        <v>0</v>
      </c>
      <c r="X85" s="9">
        <f t="shared" si="63"/>
        <v>0</v>
      </c>
      <c r="Y85" s="9">
        <f t="shared" si="64"/>
        <v>0</v>
      </c>
      <c r="Z85" s="9">
        <f t="shared" si="65"/>
        <v>0</v>
      </c>
      <c r="AA85">
        <v>0</v>
      </c>
      <c r="AB85">
        <v>0</v>
      </c>
      <c r="AC85">
        <v>0</v>
      </c>
      <c r="AD85" s="12">
        <f t="shared" si="66"/>
        <v>0</v>
      </c>
      <c r="AE85" s="9">
        <f t="shared" si="67"/>
        <v>0</v>
      </c>
      <c r="AF85" s="9">
        <f t="shared" si="68"/>
        <v>0</v>
      </c>
      <c r="AG85" s="9">
        <f t="shared" si="69"/>
        <v>0</v>
      </c>
      <c r="AH85" s="9">
        <f t="shared" si="70"/>
        <v>0</v>
      </c>
      <c r="AI85" s="15">
        <f t="shared" si="71"/>
        <v>0</v>
      </c>
      <c r="AJ85" s="15">
        <f t="shared" si="72"/>
        <v>0</v>
      </c>
      <c r="AK85" s="15">
        <f t="shared" si="73"/>
        <v>0</v>
      </c>
      <c r="AL85" s="12">
        <f t="shared" si="74"/>
        <v>0</v>
      </c>
      <c r="AM85" s="12">
        <f t="shared" si="75"/>
        <v>0</v>
      </c>
      <c r="AN85" s="9">
        <f t="shared" si="76"/>
        <v>0</v>
      </c>
      <c r="AO85" s="9">
        <f t="shared" si="77"/>
        <v>0</v>
      </c>
      <c r="AP85" s="9">
        <f t="shared" si="78"/>
        <v>0</v>
      </c>
      <c r="AQ85" s="9">
        <f t="shared" si="79"/>
        <v>0</v>
      </c>
    </row>
    <row r="86">
      <c r="A86">
        <v>532</v>
      </c>
      <c r="B86" s="1" t="s">
        <v>178</v>
      </c>
      <c r="C86">
        <v>0</v>
      </c>
      <c r="D86">
        <v>0</v>
      </c>
      <c r="E86">
        <v>0</v>
      </c>
      <c r="F86" s="12">
        <f t="shared" si="54"/>
        <v>0</v>
      </c>
      <c r="G86" s="9">
        <f t="shared" si="83"/>
        <v>0</v>
      </c>
      <c r="H86" s="9">
        <f t="shared" si="55"/>
        <v>0</v>
      </c>
      <c r="I86" s="9">
        <f t="shared" si="56"/>
        <v>0</v>
      </c>
      <c r="J86" s="9">
        <f t="shared" si="57"/>
        <v>0</v>
      </c>
      <c r="K86">
        <v>0</v>
      </c>
      <c r="L86">
        <v>0</v>
      </c>
      <c r="M86">
        <v>0</v>
      </c>
      <c r="N86" s="12">
        <f t="shared" si="58"/>
        <v>0</v>
      </c>
      <c r="O86" s="9">
        <f t="shared" si="84"/>
        <v>0</v>
      </c>
      <c r="P86" s="9">
        <f t="shared" si="59"/>
        <v>0</v>
      </c>
      <c r="Q86" s="9">
        <f t="shared" si="60"/>
        <v>0</v>
      </c>
      <c r="R86" s="9">
        <f t="shared" si="61"/>
        <v>0</v>
      </c>
      <c r="S86">
        <v>0</v>
      </c>
      <c r="T86">
        <v>0</v>
      </c>
      <c r="U86">
        <v>0</v>
      </c>
      <c r="V86" s="12">
        <f t="shared" si="62"/>
        <v>0</v>
      </c>
      <c r="W86" s="9">
        <f t="shared" si="85"/>
        <v>0</v>
      </c>
      <c r="X86" s="9">
        <f t="shared" si="63"/>
        <v>0</v>
      </c>
      <c r="Y86" s="9">
        <f t="shared" si="64"/>
        <v>0</v>
      </c>
      <c r="Z86" s="9">
        <f t="shared" si="65"/>
        <v>0</v>
      </c>
      <c r="AA86">
        <v>0</v>
      </c>
      <c r="AB86">
        <v>0</v>
      </c>
      <c r="AC86">
        <v>0</v>
      </c>
      <c r="AD86" s="12">
        <f t="shared" si="66"/>
        <v>0</v>
      </c>
      <c r="AE86" s="9">
        <f t="shared" si="67"/>
        <v>0</v>
      </c>
      <c r="AF86" s="9">
        <f t="shared" si="68"/>
        <v>0</v>
      </c>
      <c r="AG86" s="9">
        <f t="shared" si="69"/>
        <v>0</v>
      </c>
      <c r="AH86" s="9">
        <f t="shared" si="70"/>
        <v>0</v>
      </c>
      <c r="AI86" s="15">
        <f t="shared" si="71"/>
        <v>0</v>
      </c>
      <c r="AJ86" s="15">
        <f t="shared" si="72"/>
        <v>0</v>
      </c>
      <c r="AK86" s="15">
        <f t="shared" si="73"/>
        <v>0</v>
      </c>
      <c r="AL86" s="12">
        <f t="shared" si="74"/>
        <v>0</v>
      </c>
      <c r="AM86" s="12">
        <f t="shared" si="75"/>
        <v>0</v>
      </c>
      <c r="AN86" s="9">
        <f t="shared" si="76"/>
        <v>0</v>
      </c>
      <c r="AO86" s="9">
        <f t="shared" si="77"/>
        <v>0</v>
      </c>
      <c r="AP86" s="9">
        <f t="shared" si="78"/>
        <v>0</v>
      </c>
      <c r="AQ86" s="9">
        <f t="shared" si="79"/>
        <v>0</v>
      </c>
    </row>
    <row r="87">
      <c r="A87">
        <v>534</v>
      </c>
      <c r="B87" s="1" t="s">
        <v>179</v>
      </c>
      <c r="C87">
        <v>0</v>
      </c>
      <c r="D87">
        <v>0</v>
      </c>
      <c r="E87">
        <v>1</v>
      </c>
      <c r="F87" s="12">
        <f t="shared" si="54"/>
        <v>0</v>
      </c>
      <c r="G87" s="9">
        <f t="shared" si="83"/>
        <v>1</v>
      </c>
      <c r="H87" s="9">
        <f t="shared" si="55"/>
        <v>0</v>
      </c>
      <c r="I87" s="9">
        <f t="shared" si="56"/>
        <v>1</v>
      </c>
      <c r="J87" s="9">
        <f t="shared" si="57"/>
        <v>1</v>
      </c>
      <c r="K87">
        <v>0</v>
      </c>
      <c r="L87">
        <v>0</v>
      </c>
      <c r="M87">
        <v>0</v>
      </c>
      <c r="N87" s="12">
        <f t="shared" si="58"/>
        <v>0</v>
      </c>
      <c r="O87" s="9">
        <f t="shared" si="84"/>
        <v>0</v>
      </c>
      <c r="P87" s="9">
        <f t="shared" si="59"/>
        <v>0</v>
      </c>
      <c r="Q87" s="9">
        <f t="shared" si="60"/>
        <v>0</v>
      </c>
      <c r="R87" s="9">
        <f t="shared" si="61"/>
        <v>0</v>
      </c>
      <c r="S87">
        <v>0</v>
      </c>
      <c r="T87">
        <v>0</v>
      </c>
      <c r="U87">
        <v>0</v>
      </c>
      <c r="V87" s="12">
        <f t="shared" si="62"/>
        <v>0</v>
      </c>
      <c r="W87" s="9">
        <f t="shared" si="85"/>
        <v>0</v>
      </c>
      <c r="X87" s="9">
        <f t="shared" si="63"/>
        <v>0</v>
      </c>
      <c r="Y87" s="9">
        <f t="shared" si="64"/>
        <v>0</v>
      </c>
      <c r="Z87" s="9">
        <f t="shared" si="65"/>
        <v>0</v>
      </c>
      <c r="AA87">
        <v>0</v>
      </c>
      <c r="AB87">
        <v>0</v>
      </c>
      <c r="AC87">
        <v>0</v>
      </c>
      <c r="AD87" s="12">
        <f t="shared" si="66"/>
        <v>0</v>
      </c>
      <c r="AE87" s="9">
        <f t="shared" si="67"/>
        <v>0</v>
      </c>
      <c r="AF87" s="9">
        <f t="shared" si="68"/>
        <v>0</v>
      </c>
      <c r="AG87" s="9">
        <f t="shared" si="69"/>
        <v>0</v>
      </c>
      <c r="AH87" s="9">
        <f t="shared" si="70"/>
        <v>0</v>
      </c>
      <c r="AI87" s="15">
        <f t="shared" si="71"/>
        <v>0</v>
      </c>
      <c r="AJ87" s="15">
        <f t="shared" si="72"/>
        <v>0</v>
      </c>
      <c r="AK87" s="15">
        <f t="shared" si="73"/>
        <v>1</v>
      </c>
      <c r="AL87" s="12">
        <f t="shared" si="74"/>
        <v>0</v>
      </c>
      <c r="AM87" s="12">
        <f t="shared" si="75"/>
        <v>0</v>
      </c>
      <c r="AN87" s="9">
        <f t="shared" si="76"/>
        <v>1</v>
      </c>
      <c r="AO87" s="9">
        <f t="shared" si="77"/>
        <v>0</v>
      </c>
      <c r="AP87" s="9">
        <f t="shared" si="78"/>
        <v>1</v>
      </c>
      <c r="AQ87" s="9">
        <f t="shared" si="79"/>
        <v>1</v>
      </c>
    </row>
    <row r="88">
      <c r="A88">
        <v>535</v>
      </c>
      <c r="B88" s="1" t="s">
        <v>182</v>
      </c>
      <c r="C88">
        <v>0</v>
      </c>
      <c r="D88">
        <v>0</v>
      </c>
      <c r="E88">
        <v>0</v>
      </c>
      <c r="F88" s="12">
        <f t="shared" si="54"/>
        <v>0</v>
      </c>
      <c r="G88" s="9">
        <f t="shared" si="83"/>
        <v>0</v>
      </c>
      <c r="H88" s="9">
        <f t="shared" si="55"/>
        <v>0</v>
      </c>
      <c r="I88" s="9">
        <f t="shared" si="56"/>
        <v>0</v>
      </c>
      <c r="J88" s="9">
        <f t="shared" si="57"/>
        <v>0</v>
      </c>
      <c r="K88">
        <v>0</v>
      </c>
      <c r="L88">
        <v>0</v>
      </c>
      <c r="M88">
        <v>0</v>
      </c>
      <c r="N88" s="12">
        <f t="shared" si="58"/>
        <v>0</v>
      </c>
      <c r="O88" s="9">
        <f t="shared" si="84"/>
        <v>0</v>
      </c>
      <c r="P88" s="9">
        <f t="shared" si="59"/>
        <v>0</v>
      </c>
      <c r="Q88" s="9">
        <f t="shared" si="60"/>
        <v>0</v>
      </c>
      <c r="R88" s="9">
        <f t="shared" si="61"/>
        <v>0</v>
      </c>
      <c r="S88">
        <v>0</v>
      </c>
      <c r="T88">
        <v>0</v>
      </c>
      <c r="U88">
        <v>0</v>
      </c>
      <c r="V88" s="12">
        <f t="shared" si="62"/>
        <v>0</v>
      </c>
      <c r="W88" s="9">
        <f t="shared" si="85"/>
        <v>0</v>
      </c>
      <c r="X88" s="9">
        <f t="shared" si="63"/>
        <v>0</v>
      </c>
      <c r="Y88" s="9">
        <f t="shared" si="64"/>
        <v>0</v>
      </c>
      <c r="Z88" s="9">
        <f t="shared" si="65"/>
        <v>0</v>
      </c>
      <c r="AA88">
        <v>0</v>
      </c>
      <c r="AB88">
        <v>0</v>
      </c>
      <c r="AC88">
        <v>0</v>
      </c>
      <c r="AD88" s="12">
        <f t="shared" si="66"/>
        <v>0</v>
      </c>
      <c r="AE88" s="9">
        <f t="shared" si="67"/>
        <v>0</v>
      </c>
      <c r="AF88" s="9">
        <f t="shared" si="68"/>
        <v>0</v>
      </c>
      <c r="AG88" s="9">
        <f t="shared" si="69"/>
        <v>0</v>
      </c>
      <c r="AH88" s="9">
        <f t="shared" si="70"/>
        <v>0</v>
      </c>
      <c r="AI88" s="15">
        <f t="shared" si="71"/>
        <v>0</v>
      </c>
      <c r="AJ88" s="15">
        <f t="shared" si="72"/>
        <v>0</v>
      </c>
      <c r="AK88" s="15">
        <f t="shared" si="73"/>
        <v>0</v>
      </c>
      <c r="AL88" s="12">
        <f t="shared" si="74"/>
        <v>0</v>
      </c>
      <c r="AM88" s="12">
        <f t="shared" si="75"/>
        <v>0</v>
      </c>
      <c r="AN88" s="9">
        <f t="shared" si="76"/>
        <v>0</v>
      </c>
      <c r="AO88" s="9">
        <f t="shared" si="77"/>
        <v>0</v>
      </c>
      <c r="AP88" s="9">
        <f t="shared" si="78"/>
        <v>0</v>
      </c>
      <c r="AQ88" s="9">
        <f t="shared" si="79"/>
        <v>0</v>
      </c>
    </row>
    <row r="89">
      <c r="A89">
        <v>538</v>
      </c>
      <c r="B89" s="1" t="s">
        <v>183</v>
      </c>
      <c r="C89">
        <v>0</v>
      </c>
      <c r="D89">
        <v>1</v>
      </c>
      <c r="E89">
        <v>0</v>
      </c>
      <c r="F89" s="12">
        <f t="shared" si="54"/>
        <v>0</v>
      </c>
      <c r="G89" s="9">
        <f t="shared" si="83"/>
        <v>1</v>
      </c>
      <c r="H89" s="9">
        <f t="shared" si="55"/>
        <v>1</v>
      </c>
      <c r="I89" s="9">
        <f t="shared" si="56"/>
        <v>0</v>
      </c>
      <c r="J89" s="9">
        <f t="shared" si="57"/>
        <v>1</v>
      </c>
      <c r="K89">
        <v>0</v>
      </c>
      <c r="L89">
        <v>0</v>
      </c>
      <c r="M89">
        <v>0</v>
      </c>
      <c r="N89" s="12">
        <f t="shared" si="58"/>
        <v>0</v>
      </c>
      <c r="O89" s="9">
        <f t="shared" si="84"/>
        <v>0</v>
      </c>
      <c r="P89" s="9">
        <f t="shared" si="59"/>
        <v>0</v>
      </c>
      <c r="Q89" s="9">
        <f t="shared" si="60"/>
        <v>0</v>
      </c>
      <c r="R89" s="9">
        <f t="shared" si="61"/>
        <v>0</v>
      </c>
      <c r="S89">
        <v>0</v>
      </c>
      <c r="T89">
        <v>0</v>
      </c>
      <c r="U89">
        <v>0</v>
      </c>
      <c r="V89" s="12">
        <f t="shared" si="62"/>
        <v>0</v>
      </c>
      <c r="W89" s="9">
        <f t="shared" si="85"/>
        <v>0</v>
      </c>
      <c r="X89" s="9">
        <f t="shared" si="63"/>
        <v>0</v>
      </c>
      <c r="Y89" s="9">
        <f t="shared" si="64"/>
        <v>0</v>
      </c>
      <c r="Z89" s="9">
        <f t="shared" si="65"/>
        <v>0</v>
      </c>
      <c r="AA89">
        <v>0</v>
      </c>
      <c r="AB89">
        <v>0</v>
      </c>
      <c r="AC89">
        <v>0</v>
      </c>
      <c r="AD89" s="12">
        <f t="shared" si="66"/>
        <v>0</v>
      </c>
      <c r="AE89" s="9">
        <f t="shared" si="67"/>
        <v>0</v>
      </c>
      <c r="AF89" s="9">
        <f t="shared" si="68"/>
        <v>0</v>
      </c>
      <c r="AG89" s="9">
        <f t="shared" si="69"/>
        <v>0</v>
      </c>
      <c r="AH89" s="9">
        <f t="shared" si="70"/>
        <v>0</v>
      </c>
      <c r="AI89" s="15">
        <f t="shared" si="71"/>
        <v>0</v>
      </c>
      <c r="AJ89" s="15">
        <f t="shared" si="72"/>
        <v>1</v>
      </c>
      <c r="AK89" s="15">
        <f t="shared" si="73"/>
        <v>0</v>
      </c>
      <c r="AL89" s="12">
        <f t="shared" si="74"/>
        <v>0</v>
      </c>
      <c r="AM89" s="12">
        <f t="shared" si="75"/>
        <v>0</v>
      </c>
      <c r="AN89" s="9">
        <f t="shared" si="76"/>
        <v>1</v>
      </c>
      <c r="AO89" s="9">
        <f t="shared" si="77"/>
        <v>1</v>
      </c>
      <c r="AP89" s="9">
        <f t="shared" si="78"/>
        <v>0</v>
      </c>
      <c r="AQ89" s="9">
        <f t="shared" si="79"/>
        <v>1</v>
      </c>
    </row>
    <row r="90">
      <c r="A90">
        <v>540</v>
      </c>
      <c r="B90" s="1" t="s">
        <v>185</v>
      </c>
      <c r="C90">
        <v>0</v>
      </c>
      <c r="D90">
        <v>0</v>
      </c>
      <c r="E90">
        <v>0</v>
      </c>
      <c r="F90" s="12">
        <f t="shared" si="54"/>
        <v>0</v>
      </c>
      <c r="G90" s="9">
        <f t="shared" si="83"/>
        <v>0</v>
      </c>
      <c r="H90" s="9">
        <f t="shared" si="55"/>
        <v>0</v>
      </c>
      <c r="I90" s="9">
        <f t="shared" si="56"/>
        <v>0</v>
      </c>
      <c r="J90" s="9">
        <f t="shared" si="57"/>
        <v>0</v>
      </c>
      <c r="K90">
        <v>0</v>
      </c>
      <c r="L90">
        <v>0</v>
      </c>
      <c r="M90">
        <v>0</v>
      </c>
      <c r="N90" s="12">
        <f t="shared" si="58"/>
        <v>0</v>
      </c>
      <c r="O90" s="9">
        <f t="shared" si="84"/>
        <v>0</v>
      </c>
      <c r="P90" s="9">
        <f t="shared" si="59"/>
        <v>0</v>
      </c>
      <c r="Q90" s="9">
        <f t="shared" si="60"/>
        <v>0</v>
      </c>
      <c r="R90" s="9">
        <f t="shared" si="61"/>
        <v>0</v>
      </c>
      <c r="S90">
        <v>0</v>
      </c>
      <c r="T90">
        <v>1</v>
      </c>
      <c r="U90">
        <v>0</v>
      </c>
      <c r="V90" s="12">
        <f t="shared" si="62"/>
        <v>0</v>
      </c>
      <c r="W90" s="9">
        <f t="shared" si="85"/>
        <v>1</v>
      </c>
      <c r="X90" s="9">
        <f t="shared" si="63"/>
        <v>1</v>
      </c>
      <c r="Y90" s="9">
        <f t="shared" si="64"/>
        <v>0</v>
      </c>
      <c r="Z90" s="9">
        <f t="shared" si="65"/>
        <v>1</v>
      </c>
      <c r="AA90">
        <v>0</v>
      </c>
      <c r="AB90">
        <v>0</v>
      </c>
      <c r="AC90">
        <v>0</v>
      </c>
      <c r="AD90" s="12">
        <f t="shared" si="66"/>
        <v>0</v>
      </c>
      <c r="AE90" s="9">
        <f t="shared" si="67"/>
        <v>0</v>
      </c>
      <c r="AF90" s="9">
        <f t="shared" si="68"/>
        <v>0</v>
      </c>
      <c r="AG90" s="9">
        <f t="shared" si="69"/>
        <v>0</v>
      </c>
      <c r="AH90" s="9">
        <f t="shared" si="70"/>
        <v>0</v>
      </c>
      <c r="AI90" s="15">
        <f t="shared" si="71"/>
        <v>0</v>
      </c>
      <c r="AJ90" s="15">
        <f t="shared" si="72"/>
        <v>1</v>
      </c>
      <c r="AK90" s="15">
        <f t="shared" si="73"/>
        <v>0</v>
      </c>
      <c r="AL90" s="12">
        <f t="shared" si="74"/>
        <v>0</v>
      </c>
      <c r="AM90" s="12">
        <f t="shared" si="75"/>
        <v>0</v>
      </c>
      <c r="AN90" s="9">
        <f t="shared" si="76"/>
        <v>1</v>
      </c>
      <c r="AO90" s="9">
        <f t="shared" si="77"/>
        <v>1</v>
      </c>
      <c r="AP90" s="9">
        <f t="shared" si="78"/>
        <v>0</v>
      </c>
      <c r="AQ90" s="9">
        <f t="shared" si="79"/>
        <v>1</v>
      </c>
    </row>
    <row r="91">
      <c r="A91">
        <v>550</v>
      </c>
      <c r="B91" s="1" t="s">
        <v>186</v>
      </c>
      <c r="C91">
        <v>1</v>
      </c>
      <c r="D91">
        <v>1</v>
      </c>
      <c r="E91">
        <v>1</v>
      </c>
      <c r="F91" s="12">
        <f t="shared" si="54"/>
        <v>1</v>
      </c>
      <c r="G91" s="9">
        <f t="shared" si="83"/>
        <v>3</v>
      </c>
      <c r="H91" s="9">
        <f t="shared" si="55"/>
        <v>2</v>
      </c>
      <c r="I91" s="9">
        <f t="shared" si="56"/>
        <v>2</v>
      </c>
      <c r="J91" s="9">
        <f t="shared" si="57"/>
        <v>2</v>
      </c>
      <c r="K91">
        <v>0</v>
      </c>
      <c r="L91">
        <v>0</v>
      </c>
      <c r="M91">
        <v>0</v>
      </c>
      <c r="N91" s="12">
        <f t="shared" si="58"/>
        <v>0</v>
      </c>
      <c r="O91" s="9">
        <f t="shared" si="84"/>
        <v>0</v>
      </c>
      <c r="P91" s="9">
        <f t="shared" si="59"/>
        <v>0</v>
      </c>
      <c r="Q91" s="9">
        <f t="shared" si="60"/>
        <v>0</v>
      </c>
      <c r="R91" s="9">
        <f t="shared" si="61"/>
        <v>0</v>
      </c>
      <c r="S91">
        <v>0</v>
      </c>
      <c r="T91">
        <v>0</v>
      </c>
      <c r="U91">
        <v>0</v>
      </c>
      <c r="V91" s="12">
        <f t="shared" si="62"/>
        <v>0</v>
      </c>
      <c r="W91" s="9">
        <f t="shared" si="85"/>
        <v>0</v>
      </c>
      <c r="X91" s="9">
        <f t="shared" si="63"/>
        <v>0</v>
      </c>
      <c r="Y91" s="9">
        <f t="shared" si="64"/>
        <v>0</v>
      </c>
      <c r="Z91" s="9">
        <f t="shared" si="65"/>
        <v>0</v>
      </c>
      <c r="AA91">
        <v>0</v>
      </c>
      <c r="AB91">
        <v>0</v>
      </c>
      <c r="AC91">
        <v>0</v>
      </c>
      <c r="AD91" s="12">
        <f t="shared" si="66"/>
        <v>0</v>
      </c>
      <c r="AE91" s="9">
        <f t="shared" si="67"/>
        <v>0</v>
      </c>
      <c r="AF91" s="9">
        <f t="shared" si="68"/>
        <v>0</v>
      </c>
      <c r="AG91" s="9">
        <f t="shared" si="69"/>
        <v>0</v>
      </c>
      <c r="AH91" s="9">
        <f t="shared" si="70"/>
        <v>0</v>
      </c>
      <c r="AI91" s="15">
        <f t="shared" si="71"/>
        <v>1</v>
      </c>
      <c r="AJ91" s="15">
        <f t="shared" si="72"/>
        <v>1</v>
      </c>
      <c r="AK91" s="15">
        <f t="shared" si="73"/>
        <v>1</v>
      </c>
      <c r="AL91" s="12">
        <f t="shared" si="74"/>
        <v>1</v>
      </c>
      <c r="AM91" s="12">
        <f t="shared" si="75"/>
        <v>1</v>
      </c>
      <c r="AN91" s="9">
        <f t="shared" si="76"/>
        <v>3</v>
      </c>
      <c r="AO91" s="9">
        <f t="shared" si="77"/>
        <v>2</v>
      </c>
      <c r="AP91" s="9">
        <f t="shared" si="78"/>
        <v>2</v>
      </c>
      <c r="AQ91" s="9">
        <f t="shared" si="79"/>
        <v>2</v>
      </c>
    </row>
    <row r="92">
      <c r="A92">
        <v>558</v>
      </c>
      <c r="B92" s="1" t="s">
        <v>190</v>
      </c>
      <c r="C92">
        <v>0</v>
      </c>
      <c r="D92">
        <v>0</v>
      </c>
      <c r="E92">
        <v>0</v>
      </c>
      <c r="F92" s="12">
        <f t="shared" si="54"/>
        <v>0</v>
      </c>
      <c r="G92" s="9">
        <f t="shared" si="83"/>
        <v>0</v>
      </c>
      <c r="H92" s="9">
        <f t="shared" si="55"/>
        <v>0</v>
      </c>
      <c r="I92" s="9">
        <f t="shared" si="56"/>
        <v>0</v>
      </c>
      <c r="J92" s="9">
        <f t="shared" si="57"/>
        <v>0</v>
      </c>
      <c r="K92">
        <v>0</v>
      </c>
      <c r="L92">
        <v>0</v>
      </c>
      <c r="M92">
        <v>0</v>
      </c>
      <c r="N92" s="12">
        <f t="shared" si="58"/>
        <v>0</v>
      </c>
      <c r="O92" s="9">
        <f t="shared" si="84"/>
        <v>0</v>
      </c>
      <c r="P92" s="9">
        <f t="shared" si="59"/>
        <v>0</v>
      </c>
      <c r="Q92" s="9">
        <f t="shared" si="60"/>
        <v>0</v>
      </c>
      <c r="R92" s="9">
        <f t="shared" si="61"/>
        <v>0</v>
      </c>
      <c r="S92">
        <v>0</v>
      </c>
      <c r="T92">
        <v>0</v>
      </c>
      <c r="U92">
        <v>0</v>
      </c>
      <c r="V92" s="12">
        <f t="shared" si="62"/>
        <v>0</v>
      </c>
      <c r="W92" s="9">
        <f t="shared" si="85"/>
        <v>0</v>
      </c>
      <c r="X92" s="9">
        <f t="shared" si="63"/>
        <v>0</v>
      </c>
      <c r="Y92" s="9">
        <f t="shared" si="64"/>
        <v>0</v>
      </c>
      <c r="Z92" s="9">
        <f t="shared" si="65"/>
        <v>0</v>
      </c>
      <c r="AA92">
        <v>1</v>
      </c>
      <c r="AB92">
        <v>1</v>
      </c>
      <c r="AC92">
        <v>1</v>
      </c>
      <c r="AD92" s="12">
        <f t="shared" si="66"/>
        <v>1</v>
      </c>
      <c r="AE92" s="9">
        <f t="shared" si="67"/>
        <v>3</v>
      </c>
      <c r="AF92" s="9">
        <f t="shared" si="68"/>
        <v>2</v>
      </c>
      <c r="AG92" s="9">
        <f t="shared" si="69"/>
        <v>2</v>
      </c>
      <c r="AH92" s="9">
        <f t="shared" si="70"/>
        <v>2</v>
      </c>
      <c r="AI92" s="15">
        <f t="shared" si="71"/>
        <v>1</v>
      </c>
      <c r="AJ92" s="15">
        <f t="shared" si="72"/>
        <v>1</v>
      </c>
      <c r="AK92" s="15">
        <f t="shared" si="73"/>
        <v>1</v>
      </c>
      <c r="AL92" s="12">
        <f t="shared" si="74"/>
        <v>1</v>
      </c>
      <c r="AM92" s="12">
        <f t="shared" si="75"/>
        <v>1</v>
      </c>
      <c r="AN92" s="9">
        <f t="shared" si="76"/>
        <v>3</v>
      </c>
      <c r="AO92" s="9">
        <f t="shared" si="77"/>
        <v>2</v>
      </c>
      <c r="AP92" s="9">
        <f t="shared" si="78"/>
        <v>2</v>
      </c>
      <c r="AQ92" s="9">
        <f t="shared" si="79"/>
        <v>2</v>
      </c>
    </row>
    <row r="93">
      <c r="A93">
        <v>559</v>
      </c>
      <c r="B93" s="1" t="s">
        <v>191</v>
      </c>
      <c r="C93">
        <v>0</v>
      </c>
      <c r="D93">
        <v>0</v>
      </c>
      <c r="E93">
        <v>0</v>
      </c>
      <c r="F93" s="12">
        <f t="shared" si="54"/>
        <v>0</v>
      </c>
      <c r="G93" s="9">
        <f t="shared" si="83"/>
        <v>0</v>
      </c>
      <c r="H93" s="9">
        <f t="shared" si="55"/>
        <v>0</v>
      </c>
      <c r="I93" s="9">
        <f t="shared" si="56"/>
        <v>0</v>
      </c>
      <c r="J93" s="9">
        <f t="shared" si="57"/>
        <v>0</v>
      </c>
      <c r="K93">
        <v>1</v>
      </c>
      <c r="L93">
        <v>1</v>
      </c>
      <c r="M93">
        <v>0</v>
      </c>
      <c r="N93" s="12">
        <f t="shared" si="58"/>
        <v>1</v>
      </c>
      <c r="O93" s="9">
        <f t="shared" si="84"/>
        <v>2</v>
      </c>
      <c r="P93" s="9">
        <f t="shared" si="59"/>
        <v>2</v>
      </c>
      <c r="Q93" s="9">
        <f t="shared" si="60"/>
        <v>1</v>
      </c>
      <c r="R93" s="9">
        <f t="shared" si="61"/>
        <v>1</v>
      </c>
      <c r="S93">
        <v>0</v>
      </c>
      <c r="T93">
        <v>0</v>
      </c>
      <c r="U93">
        <v>0</v>
      </c>
      <c r="V93" s="12">
        <f t="shared" si="62"/>
        <v>0</v>
      </c>
      <c r="W93" s="9">
        <f t="shared" si="85"/>
        <v>0</v>
      </c>
      <c r="X93" s="9">
        <f t="shared" si="63"/>
        <v>0</v>
      </c>
      <c r="Y93" s="9">
        <f t="shared" si="64"/>
        <v>0</v>
      </c>
      <c r="Z93" s="9">
        <f t="shared" si="65"/>
        <v>0</v>
      </c>
      <c r="AA93">
        <v>0</v>
      </c>
      <c r="AB93">
        <v>0</v>
      </c>
      <c r="AC93">
        <v>0</v>
      </c>
      <c r="AD93" s="12">
        <f t="shared" si="66"/>
        <v>0</v>
      </c>
      <c r="AE93" s="9">
        <f t="shared" si="67"/>
        <v>0</v>
      </c>
      <c r="AF93" s="9">
        <f t="shared" si="68"/>
        <v>0</v>
      </c>
      <c r="AG93" s="9">
        <f t="shared" si="69"/>
        <v>0</v>
      </c>
      <c r="AH93" s="9">
        <f t="shared" si="70"/>
        <v>0</v>
      </c>
      <c r="AI93" s="15">
        <f t="shared" si="71"/>
        <v>1</v>
      </c>
      <c r="AJ93" s="15">
        <f t="shared" si="72"/>
        <v>1</v>
      </c>
      <c r="AK93" s="15">
        <f t="shared" si="73"/>
        <v>0</v>
      </c>
      <c r="AL93" s="12">
        <f t="shared" si="74"/>
        <v>1</v>
      </c>
      <c r="AM93" s="12">
        <f t="shared" si="75"/>
        <v>1</v>
      </c>
      <c r="AN93" s="9">
        <f t="shared" si="76"/>
        <v>2</v>
      </c>
      <c r="AO93" s="9">
        <f t="shared" si="77"/>
        <v>2</v>
      </c>
      <c r="AP93" s="9">
        <f t="shared" si="78"/>
        <v>1</v>
      </c>
      <c r="AQ93" s="9">
        <f t="shared" si="79"/>
        <v>1</v>
      </c>
    </row>
    <row r="94" ht="29.100000000000001">
      <c r="A94">
        <v>563</v>
      </c>
      <c r="B94" s="1" t="s">
        <v>192</v>
      </c>
      <c r="C94">
        <v>0</v>
      </c>
      <c r="D94">
        <v>0</v>
      </c>
      <c r="E94">
        <v>0</v>
      </c>
      <c r="F94" s="12">
        <f t="shared" si="54"/>
        <v>0</v>
      </c>
      <c r="G94" s="9">
        <f t="shared" si="83"/>
        <v>0</v>
      </c>
      <c r="H94" s="9">
        <f t="shared" si="55"/>
        <v>0</v>
      </c>
      <c r="I94" s="9">
        <f t="shared" si="56"/>
        <v>0</v>
      </c>
      <c r="J94" s="9">
        <f t="shared" si="57"/>
        <v>0</v>
      </c>
      <c r="K94">
        <v>0</v>
      </c>
      <c r="L94">
        <v>0</v>
      </c>
      <c r="M94">
        <v>0</v>
      </c>
      <c r="N94" s="12">
        <f t="shared" si="58"/>
        <v>0</v>
      </c>
      <c r="O94" s="9">
        <f t="shared" si="84"/>
        <v>0</v>
      </c>
      <c r="P94" s="9">
        <f t="shared" si="59"/>
        <v>0</v>
      </c>
      <c r="Q94" s="9">
        <f t="shared" si="60"/>
        <v>0</v>
      </c>
      <c r="R94" s="9">
        <f t="shared" si="61"/>
        <v>0</v>
      </c>
      <c r="S94">
        <v>1</v>
      </c>
      <c r="T94">
        <v>1</v>
      </c>
      <c r="U94">
        <v>1</v>
      </c>
      <c r="V94" s="12">
        <f t="shared" si="62"/>
        <v>1</v>
      </c>
      <c r="W94" s="9">
        <f t="shared" si="85"/>
        <v>3</v>
      </c>
      <c r="X94" s="9">
        <f t="shared" si="63"/>
        <v>2</v>
      </c>
      <c r="Y94" s="9">
        <f t="shared" si="64"/>
        <v>2</v>
      </c>
      <c r="Z94" s="9">
        <f t="shared" si="65"/>
        <v>2</v>
      </c>
      <c r="AA94">
        <v>0</v>
      </c>
      <c r="AB94">
        <v>0</v>
      </c>
      <c r="AC94">
        <v>0</v>
      </c>
      <c r="AD94" s="12">
        <f t="shared" si="66"/>
        <v>0</v>
      </c>
      <c r="AE94" s="9">
        <f t="shared" si="67"/>
        <v>0</v>
      </c>
      <c r="AF94" s="9">
        <f t="shared" si="68"/>
        <v>0</v>
      </c>
      <c r="AG94" s="9">
        <f t="shared" si="69"/>
        <v>0</v>
      </c>
      <c r="AH94" s="9">
        <f t="shared" si="70"/>
        <v>0</v>
      </c>
      <c r="AI94" s="15">
        <f t="shared" si="71"/>
        <v>1</v>
      </c>
      <c r="AJ94" s="15">
        <f t="shared" si="72"/>
        <v>1</v>
      </c>
      <c r="AK94" s="15">
        <f t="shared" si="73"/>
        <v>1</v>
      </c>
      <c r="AL94" s="12">
        <f t="shared" si="74"/>
        <v>1</v>
      </c>
      <c r="AM94" s="12">
        <f t="shared" si="75"/>
        <v>1</v>
      </c>
      <c r="AN94" s="9">
        <f t="shared" si="76"/>
        <v>3</v>
      </c>
      <c r="AO94" s="9">
        <f t="shared" si="77"/>
        <v>2</v>
      </c>
      <c r="AP94" s="9">
        <f t="shared" si="78"/>
        <v>2</v>
      </c>
      <c r="AQ94" s="9">
        <f t="shared" si="79"/>
        <v>2</v>
      </c>
    </row>
    <row r="95">
      <c r="A95">
        <v>565</v>
      </c>
      <c r="B95" s="1" t="s">
        <v>193</v>
      </c>
      <c r="C95">
        <v>0</v>
      </c>
      <c r="D95">
        <v>1</v>
      </c>
      <c r="E95">
        <v>0</v>
      </c>
      <c r="F95" s="12">
        <f t="shared" si="54"/>
        <v>0</v>
      </c>
      <c r="G95" s="9">
        <f t="shared" si="83"/>
        <v>1</v>
      </c>
      <c r="H95" s="9">
        <f t="shared" si="55"/>
        <v>1</v>
      </c>
      <c r="I95" s="9">
        <f t="shared" si="56"/>
        <v>0</v>
      </c>
      <c r="J95" s="9">
        <f t="shared" si="57"/>
        <v>1</v>
      </c>
      <c r="K95">
        <v>0</v>
      </c>
      <c r="L95">
        <v>0</v>
      </c>
      <c r="M95">
        <v>0</v>
      </c>
      <c r="N95" s="12">
        <f t="shared" si="58"/>
        <v>0</v>
      </c>
      <c r="O95" s="9">
        <f t="shared" si="84"/>
        <v>0</v>
      </c>
      <c r="P95" s="9">
        <f t="shared" si="59"/>
        <v>0</v>
      </c>
      <c r="Q95" s="9">
        <f t="shared" si="60"/>
        <v>0</v>
      </c>
      <c r="R95" s="9">
        <f t="shared" si="61"/>
        <v>0</v>
      </c>
      <c r="S95">
        <v>1</v>
      </c>
      <c r="T95">
        <v>0</v>
      </c>
      <c r="U95">
        <v>1</v>
      </c>
      <c r="V95" s="12">
        <f t="shared" si="62"/>
        <v>1</v>
      </c>
      <c r="W95" s="9">
        <f t="shared" si="85"/>
        <v>2</v>
      </c>
      <c r="X95" s="9">
        <f t="shared" si="63"/>
        <v>1</v>
      </c>
      <c r="Y95" s="9">
        <f t="shared" si="64"/>
        <v>2</v>
      </c>
      <c r="Z95" s="9">
        <f t="shared" si="65"/>
        <v>1</v>
      </c>
      <c r="AA95">
        <v>0</v>
      </c>
      <c r="AB95">
        <v>0</v>
      </c>
      <c r="AC95">
        <v>0</v>
      </c>
      <c r="AD95" s="12">
        <f t="shared" si="66"/>
        <v>0</v>
      </c>
      <c r="AE95" s="9">
        <f t="shared" si="67"/>
        <v>0</v>
      </c>
      <c r="AF95" s="9">
        <f t="shared" si="68"/>
        <v>0</v>
      </c>
      <c r="AG95" s="9">
        <f t="shared" si="69"/>
        <v>0</v>
      </c>
      <c r="AH95" s="9">
        <f t="shared" si="70"/>
        <v>0</v>
      </c>
      <c r="AI95" s="15">
        <f t="shared" si="71"/>
        <v>1</v>
      </c>
      <c r="AJ95" s="15">
        <f t="shared" si="72"/>
        <v>1</v>
      </c>
      <c r="AK95" s="15">
        <f t="shared" si="73"/>
        <v>1</v>
      </c>
      <c r="AL95" s="12">
        <f t="shared" si="74"/>
        <v>1</v>
      </c>
      <c r="AM95" s="12">
        <f t="shared" si="75"/>
        <v>1</v>
      </c>
      <c r="AN95" s="9">
        <f t="shared" si="76"/>
        <v>3</v>
      </c>
      <c r="AO95" s="9">
        <f t="shared" si="77"/>
        <v>2</v>
      </c>
      <c r="AP95" s="9">
        <f t="shared" si="78"/>
        <v>2</v>
      </c>
      <c r="AQ95" s="9">
        <f t="shared" si="79"/>
        <v>2</v>
      </c>
    </row>
    <row r="96">
      <c r="A96">
        <v>567</v>
      </c>
      <c r="B96" s="1" t="s">
        <v>196</v>
      </c>
      <c r="C96">
        <v>0</v>
      </c>
      <c r="D96">
        <v>0</v>
      </c>
      <c r="E96">
        <v>0</v>
      </c>
      <c r="F96" s="12">
        <f t="shared" si="54"/>
        <v>0</v>
      </c>
      <c r="G96" s="9">
        <f t="shared" si="83"/>
        <v>0</v>
      </c>
      <c r="H96" s="9">
        <f t="shared" si="55"/>
        <v>0</v>
      </c>
      <c r="I96" s="9">
        <f t="shared" si="56"/>
        <v>0</v>
      </c>
      <c r="J96" s="9">
        <f t="shared" si="57"/>
        <v>0</v>
      </c>
      <c r="K96">
        <v>1</v>
      </c>
      <c r="L96">
        <v>1</v>
      </c>
      <c r="M96">
        <v>0</v>
      </c>
      <c r="N96" s="12">
        <f t="shared" si="58"/>
        <v>1</v>
      </c>
      <c r="O96" s="9">
        <f t="shared" si="84"/>
        <v>2</v>
      </c>
      <c r="P96" s="9">
        <f t="shared" si="59"/>
        <v>2</v>
      </c>
      <c r="Q96" s="9">
        <f t="shared" si="60"/>
        <v>1</v>
      </c>
      <c r="R96" s="9">
        <f t="shared" si="61"/>
        <v>1</v>
      </c>
      <c r="S96">
        <v>0</v>
      </c>
      <c r="T96">
        <v>0</v>
      </c>
      <c r="U96">
        <v>0</v>
      </c>
      <c r="V96" s="12">
        <f t="shared" si="62"/>
        <v>0</v>
      </c>
      <c r="W96" s="9">
        <f t="shared" si="85"/>
        <v>0</v>
      </c>
      <c r="X96" s="9">
        <f t="shared" si="63"/>
        <v>0</v>
      </c>
      <c r="Y96" s="9">
        <f t="shared" si="64"/>
        <v>0</v>
      </c>
      <c r="Z96" s="9">
        <f t="shared" si="65"/>
        <v>0</v>
      </c>
      <c r="AA96">
        <v>0</v>
      </c>
      <c r="AB96">
        <v>0</v>
      </c>
      <c r="AC96">
        <v>0</v>
      </c>
      <c r="AD96" s="12">
        <f t="shared" si="66"/>
        <v>0</v>
      </c>
      <c r="AE96" s="9">
        <f t="shared" si="67"/>
        <v>0</v>
      </c>
      <c r="AF96" s="9">
        <f t="shared" si="68"/>
        <v>0</v>
      </c>
      <c r="AG96" s="9">
        <f t="shared" si="69"/>
        <v>0</v>
      </c>
      <c r="AH96" s="9">
        <f t="shared" si="70"/>
        <v>0</v>
      </c>
      <c r="AI96" s="15">
        <f t="shared" si="71"/>
        <v>1</v>
      </c>
      <c r="AJ96" s="15">
        <f t="shared" si="72"/>
        <v>1</v>
      </c>
      <c r="AK96" s="15">
        <f t="shared" si="73"/>
        <v>0</v>
      </c>
      <c r="AL96" s="12">
        <f t="shared" si="74"/>
        <v>1</v>
      </c>
      <c r="AM96" s="12">
        <f t="shared" si="75"/>
        <v>1</v>
      </c>
      <c r="AN96" s="9">
        <f t="shared" si="76"/>
        <v>2</v>
      </c>
      <c r="AO96" s="9">
        <f t="shared" si="77"/>
        <v>2</v>
      </c>
      <c r="AP96" s="9">
        <f t="shared" si="78"/>
        <v>1</v>
      </c>
      <c r="AQ96" s="9">
        <f t="shared" si="79"/>
        <v>1</v>
      </c>
    </row>
    <row r="97">
      <c r="A97">
        <v>570</v>
      </c>
      <c r="B97" s="1" t="s">
        <v>197</v>
      </c>
      <c r="C97">
        <v>0</v>
      </c>
      <c r="D97">
        <v>0</v>
      </c>
      <c r="E97">
        <v>0</v>
      </c>
      <c r="F97" s="12">
        <f t="shared" si="54"/>
        <v>0</v>
      </c>
      <c r="G97" s="9">
        <f t="shared" si="83"/>
        <v>0</v>
      </c>
      <c r="H97" s="9">
        <f t="shared" si="55"/>
        <v>0</v>
      </c>
      <c r="I97" s="9">
        <f t="shared" si="56"/>
        <v>0</v>
      </c>
      <c r="J97" s="9">
        <f t="shared" si="57"/>
        <v>0</v>
      </c>
      <c r="K97">
        <v>0</v>
      </c>
      <c r="L97">
        <v>0</v>
      </c>
      <c r="M97">
        <v>0</v>
      </c>
      <c r="N97" s="12">
        <f t="shared" si="58"/>
        <v>0</v>
      </c>
      <c r="O97" s="9">
        <f t="shared" si="84"/>
        <v>0</v>
      </c>
      <c r="P97" s="9">
        <f t="shared" si="59"/>
        <v>0</v>
      </c>
      <c r="Q97" s="9">
        <f t="shared" si="60"/>
        <v>0</v>
      </c>
      <c r="R97" s="9">
        <f t="shared" si="61"/>
        <v>0</v>
      </c>
      <c r="S97">
        <v>1</v>
      </c>
      <c r="T97">
        <v>1</v>
      </c>
      <c r="U97">
        <v>0</v>
      </c>
      <c r="V97" s="12">
        <f t="shared" si="62"/>
        <v>1</v>
      </c>
      <c r="W97" s="9">
        <f t="shared" si="85"/>
        <v>2</v>
      </c>
      <c r="X97" s="9">
        <f t="shared" si="63"/>
        <v>2</v>
      </c>
      <c r="Y97" s="9">
        <f t="shared" si="64"/>
        <v>1</v>
      </c>
      <c r="Z97" s="9">
        <f t="shared" si="65"/>
        <v>1</v>
      </c>
      <c r="AA97">
        <v>0</v>
      </c>
      <c r="AB97">
        <v>1</v>
      </c>
      <c r="AC97">
        <v>1</v>
      </c>
      <c r="AD97" s="12">
        <f t="shared" si="66"/>
        <v>1</v>
      </c>
      <c r="AE97" s="9">
        <f t="shared" si="67"/>
        <v>2</v>
      </c>
      <c r="AF97" s="9">
        <f t="shared" si="68"/>
        <v>1</v>
      </c>
      <c r="AG97" s="9">
        <f t="shared" si="69"/>
        <v>1</v>
      </c>
      <c r="AH97" s="9">
        <f t="shared" si="70"/>
        <v>2</v>
      </c>
      <c r="AI97" s="15">
        <f t="shared" si="71"/>
        <v>1</v>
      </c>
      <c r="AJ97" s="15">
        <f t="shared" si="72"/>
        <v>1</v>
      </c>
      <c r="AK97" s="15">
        <f t="shared" si="73"/>
        <v>1</v>
      </c>
      <c r="AL97" s="12">
        <f t="shared" si="74"/>
        <v>1</v>
      </c>
      <c r="AM97" s="12">
        <f t="shared" si="75"/>
        <v>1</v>
      </c>
      <c r="AN97" s="9">
        <f t="shared" si="76"/>
        <v>3</v>
      </c>
      <c r="AO97" s="9">
        <f t="shared" si="77"/>
        <v>2</v>
      </c>
      <c r="AP97" s="9">
        <f t="shared" si="78"/>
        <v>2</v>
      </c>
      <c r="AQ97" s="9">
        <f t="shared" si="79"/>
        <v>2</v>
      </c>
    </row>
    <row r="98" ht="29.100000000000001">
      <c r="A98">
        <v>571</v>
      </c>
      <c r="B98" s="1" t="s">
        <v>199</v>
      </c>
      <c r="C98">
        <v>0</v>
      </c>
      <c r="D98">
        <v>0</v>
      </c>
      <c r="E98">
        <v>0</v>
      </c>
      <c r="F98" s="12">
        <f t="shared" ref="F98:F129" si="86">IF(SUM(C98,D98,E98)&gt;=2,1,0)</f>
        <v>0</v>
      </c>
      <c r="G98" s="9">
        <f t="shared" si="83"/>
        <v>0</v>
      </c>
      <c r="H98" s="9">
        <f t="shared" ref="H98:H129" si="87">C98+D98</f>
        <v>0</v>
      </c>
      <c r="I98" s="9">
        <f t="shared" ref="I98:I129" si="88">C98+E98</f>
        <v>0</v>
      </c>
      <c r="J98" s="9">
        <f t="shared" ref="J98:J129" si="89">D98+E98</f>
        <v>0</v>
      </c>
      <c r="K98">
        <v>0</v>
      </c>
      <c r="L98">
        <v>0</v>
      </c>
      <c r="M98">
        <v>0</v>
      </c>
      <c r="N98" s="12">
        <f t="shared" ref="N98:N129" si="90">IF(SUM(K98,L98,M98)&gt;=2,1,0)</f>
        <v>0</v>
      </c>
      <c r="O98" s="9">
        <f t="shared" si="84"/>
        <v>0</v>
      </c>
      <c r="P98" s="9">
        <f t="shared" ref="P98:P129" si="91">K98+L98</f>
        <v>0</v>
      </c>
      <c r="Q98" s="9">
        <f t="shared" ref="Q98:Q129" si="92">K98+M98</f>
        <v>0</v>
      </c>
      <c r="R98" s="9">
        <f t="shared" ref="R98:R129" si="93">L98+M98</f>
        <v>0</v>
      </c>
      <c r="S98">
        <v>0</v>
      </c>
      <c r="T98">
        <v>0</v>
      </c>
      <c r="U98">
        <v>0</v>
      </c>
      <c r="V98" s="12">
        <f t="shared" ref="V98:V129" si="94">IF(SUM(S98,T98,U98)&gt;=2,1,0)</f>
        <v>0</v>
      </c>
      <c r="W98" s="9">
        <f t="shared" si="85"/>
        <v>0</v>
      </c>
      <c r="X98" s="9">
        <f t="shared" ref="X98:X129" si="95">S98+T98</f>
        <v>0</v>
      </c>
      <c r="Y98" s="9">
        <f t="shared" ref="Y98:Y129" si="96">S98+U98</f>
        <v>0</v>
      </c>
      <c r="Z98" s="9">
        <f t="shared" ref="Z98:Z129" si="97">T98+U98</f>
        <v>0</v>
      </c>
      <c r="AA98">
        <v>0</v>
      </c>
      <c r="AB98">
        <v>0</v>
      </c>
      <c r="AC98">
        <v>0</v>
      </c>
      <c r="AD98" s="12">
        <f t="shared" ref="AD98:AD129" si="98">IF(SUM(AA98,AB98,AC98)&gt;=2,1,0)</f>
        <v>0</v>
      </c>
      <c r="AE98" s="9">
        <f t="shared" ref="AE98:AE129" si="99">AA98+AB98+AC98</f>
        <v>0</v>
      </c>
      <c r="AF98" s="9">
        <f t="shared" ref="AF98:AF129" si="100">AA98+AB98</f>
        <v>0</v>
      </c>
      <c r="AG98" s="9">
        <f t="shared" ref="AG98:AG129" si="101">AA98+AC98</f>
        <v>0</v>
      </c>
      <c r="AH98" s="9">
        <f t="shared" ref="AH98:AH129" si="102">AB98+AC98</f>
        <v>0</v>
      </c>
      <c r="AI98" s="15">
        <f t="shared" ref="AI98:AI129" si="103">IF(SUM(C98+K98+S98+AA98)&gt;=1,1,0)</f>
        <v>0</v>
      </c>
      <c r="AJ98" s="15">
        <f t="shared" ref="AJ98:AJ129" si="104">IF(SUM(D98+L98+T98+AB98)&gt;=1,1,0)</f>
        <v>0</v>
      </c>
      <c r="AK98" s="15">
        <f t="shared" ref="AK98:AK129" si="105">IF(SUM(E98+M98+U98+AC98)&gt;=1,1,0)</f>
        <v>0</v>
      </c>
      <c r="AL98" s="12">
        <f t="shared" ref="AL98:AL129" si="106">IF(SUM(AI98,AJ98,AK98)&gt;=2,1,0)</f>
        <v>0</v>
      </c>
      <c r="AM98" s="12">
        <f t="shared" ref="AM98:AM129" si="107">IF(SUM(F98,N98,V98,AD98)&gt;=1,1,0)</f>
        <v>0</v>
      </c>
      <c r="AN98" s="9">
        <f t="shared" ref="AN98:AN129" si="108">AI98+AJ98+AK98</f>
        <v>0</v>
      </c>
      <c r="AO98" s="9">
        <f t="shared" ref="AO98:AO129" si="109">AI98+AJ98</f>
        <v>0</v>
      </c>
      <c r="AP98" s="9">
        <f t="shared" ref="AP98:AP129" si="110">AI98+AK98</f>
        <v>0</v>
      </c>
      <c r="AQ98" s="9">
        <f t="shared" ref="AQ98:AQ129" si="111">AJ98+AK98</f>
        <v>0</v>
      </c>
    </row>
    <row r="99">
      <c r="A99">
        <v>575</v>
      </c>
      <c r="B99" s="1" t="s">
        <v>200</v>
      </c>
      <c r="C99">
        <v>0</v>
      </c>
      <c r="D99">
        <v>0</v>
      </c>
      <c r="E99">
        <v>0</v>
      </c>
      <c r="F99" s="12">
        <f t="shared" si="86"/>
        <v>0</v>
      </c>
      <c r="G99" s="9">
        <f t="shared" si="83"/>
        <v>0</v>
      </c>
      <c r="H99" s="9">
        <f t="shared" si="87"/>
        <v>0</v>
      </c>
      <c r="I99" s="9">
        <f t="shared" si="88"/>
        <v>0</v>
      </c>
      <c r="J99" s="9">
        <f t="shared" si="89"/>
        <v>0</v>
      </c>
      <c r="K99">
        <v>1</v>
      </c>
      <c r="L99">
        <v>1</v>
      </c>
      <c r="M99">
        <v>1</v>
      </c>
      <c r="N99" s="12">
        <f t="shared" si="90"/>
        <v>1</v>
      </c>
      <c r="O99" s="9">
        <f t="shared" si="84"/>
        <v>3</v>
      </c>
      <c r="P99" s="9">
        <f t="shared" si="91"/>
        <v>2</v>
      </c>
      <c r="Q99" s="9">
        <f t="shared" si="92"/>
        <v>2</v>
      </c>
      <c r="R99" s="9">
        <f t="shared" si="93"/>
        <v>2</v>
      </c>
      <c r="S99">
        <v>0</v>
      </c>
      <c r="T99">
        <v>0</v>
      </c>
      <c r="U99">
        <v>0</v>
      </c>
      <c r="V99" s="12">
        <f t="shared" si="94"/>
        <v>0</v>
      </c>
      <c r="W99" s="9">
        <f t="shared" si="85"/>
        <v>0</v>
      </c>
      <c r="X99" s="9">
        <f t="shared" si="95"/>
        <v>0</v>
      </c>
      <c r="Y99" s="9">
        <f t="shared" si="96"/>
        <v>0</v>
      </c>
      <c r="Z99" s="9">
        <f t="shared" si="97"/>
        <v>0</v>
      </c>
      <c r="AA99">
        <v>0</v>
      </c>
      <c r="AB99">
        <v>0</v>
      </c>
      <c r="AC99">
        <v>0</v>
      </c>
      <c r="AD99" s="12">
        <f t="shared" si="98"/>
        <v>0</v>
      </c>
      <c r="AE99" s="9">
        <f t="shared" si="99"/>
        <v>0</v>
      </c>
      <c r="AF99" s="9">
        <f t="shared" si="100"/>
        <v>0</v>
      </c>
      <c r="AG99" s="9">
        <f t="shared" si="101"/>
        <v>0</v>
      </c>
      <c r="AH99" s="9">
        <f t="shared" si="102"/>
        <v>0</v>
      </c>
      <c r="AI99" s="15">
        <f t="shared" si="103"/>
        <v>1</v>
      </c>
      <c r="AJ99" s="15">
        <f t="shared" si="104"/>
        <v>1</v>
      </c>
      <c r="AK99" s="15">
        <f t="shared" si="105"/>
        <v>1</v>
      </c>
      <c r="AL99" s="12">
        <f t="shared" si="106"/>
        <v>1</v>
      </c>
      <c r="AM99" s="12">
        <f t="shared" si="107"/>
        <v>1</v>
      </c>
      <c r="AN99" s="9">
        <f t="shared" si="108"/>
        <v>3</v>
      </c>
      <c r="AO99" s="9">
        <f t="shared" si="109"/>
        <v>2</v>
      </c>
      <c r="AP99" s="9">
        <f t="shared" si="110"/>
        <v>2</v>
      </c>
      <c r="AQ99" s="9">
        <f t="shared" si="111"/>
        <v>2</v>
      </c>
    </row>
    <row r="100">
      <c r="A100">
        <v>577</v>
      </c>
      <c r="B100" s="1" t="s">
        <v>201</v>
      </c>
      <c r="C100">
        <v>0</v>
      </c>
      <c r="D100">
        <v>0</v>
      </c>
      <c r="E100">
        <v>0</v>
      </c>
      <c r="F100" s="12">
        <f t="shared" si="86"/>
        <v>0</v>
      </c>
      <c r="G100" s="9">
        <f t="shared" si="83"/>
        <v>0</v>
      </c>
      <c r="H100" s="9">
        <f t="shared" si="87"/>
        <v>0</v>
      </c>
      <c r="I100" s="9">
        <f t="shared" si="88"/>
        <v>0</v>
      </c>
      <c r="J100" s="9">
        <f t="shared" si="89"/>
        <v>0</v>
      </c>
      <c r="K100">
        <v>0</v>
      </c>
      <c r="L100">
        <v>0</v>
      </c>
      <c r="M100">
        <v>0</v>
      </c>
      <c r="N100" s="12">
        <f t="shared" si="90"/>
        <v>0</v>
      </c>
      <c r="O100" s="9">
        <f t="shared" si="84"/>
        <v>0</v>
      </c>
      <c r="P100" s="9">
        <f t="shared" si="91"/>
        <v>0</v>
      </c>
      <c r="Q100" s="9">
        <f t="shared" si="92"/>
        <v>0</v>
      </c>
      <c r="R100" s="9">
        <f t="shared" si="93"/>
        <v>0</v>
      </c>
      <c r="S100">
        <v>1</v>
      </c>
      <c r="T100">
        <v>0</v>
      </c>
      <c r="U100">
        <v>1</v>
      </c>
      <c r="V100" s="12">
        <f t="shared" si="94"/>
        <v>1</v>
      </c>
      <c r="W100" s="9">
        <f t="shared" si="85"/>
        <v>2</v>
      </c>
      <c r="X100" s="9">
        <f t="shared" si="95"/>
        <v>1</v>
      </c>
      <c r="Y100" s="9">
        <f t="shared" si="96"/>
        <v>2</v>
      </c>
      <c r="Z100" s="9">
        <f t="shared" si="97"/>
        <v>1</v>
      </c>
      <c r="AA100">
        <v>0</v>
      </c>
      <c r="AB100">
        <v>0</v>
      </c>
      <c r="AC100">
        <v>0</v>
      </c>
      <c r="AD100" s="12">
        <f t="shared" si="98"/>
        <v>0</v>
      </c>
      <c r="AE100" s="9">
        <f t="shared" si="99"/>
        <v>0</v>
      </c>
      <c r="AF100" s="9">
        <f t="shared" si="100"/>
        <v>0</v>
      </c>
      <c r="AG100" s="9">
        <f t="shared" si="101"/>
        <v>0</v>
      </c>
      <c r="AH100" s="9">
        <f t="shared" si="102"/>
        <v>0</v>
      </c>
      <c r="AI100" s="15">
        <f t="shared" si="103"/>
        <v>1</v>
      </c>
      <c r="AJ100" s="15">
        <f t="shared" si="104"/>
        <v>0</v>
      </c>
      <c r="AK100" s="15">
        <f t="shared" si="105"/>
        <v>1</v>
      </c>
      <c r="AL100" s="12">
        <f t="shared" si="106"/>
        <v>1</v>
      </c>
      <c r="AM100" s="12">
        <f t="shared" si="107"/>
        <v>1</v>
      </c>
      <c r="AN100" s="9">
        <f t="shared" si="108"/>
        <v>2</v>
      </c>
      <c r="AO100" s="9">
        <f t="shared" si="109"/>
        <v>1</v>
      </c>
      <c r="AP100" s="9">
        <f t="shared" si="110"/>
        <v>2</v>
      </c>
      <c r="AQ100" s="9">
        <f t="shared" si="111"/>
        <v>1</v>
      </c>
    </row>
    <row r="101">
      <c r="A101">
        <v>586</v>
      </c>
      <c r="B101" s="1" t="s">
        <v>204</v>
      </c>
      <c r="C101">
        <v>0</v>
      </c>
      <c r="D101">
        <v>0</v>
      </c>
      <c r="E101">
        <v>0</v>
      </c>
      <c r="F101" s="12">
        <f t="shared" si="86"/>
        <v>0</v>
      </c>
      <c r="G101" s="9">
        <f t="shared" si="83"/>
        <v>0</v>
      </c>
      <c r="H101" s="9">
        <f t="shared" si="87"/>
        <v>0</v>
      </c>
      <c r="I101" s="9">
        <f t="shared" si="88"/>
        <v>0</v>
      </c>
      <c r="J101" s="9">
        <f t="shared" si="89"/>
        <v>0</v>
      </c>
      <c r="K101">
        <v>0</v>
      </c>
      <c r="L101">
        <v>0</v>
      </c>
      <c r="M101">
        <v>0</v>
      </c>
      <c r="N101" s="12">
        <f t="shared" si="90"/>
        <v>0</v>
      </c>
      <c r="O101" s="9">
        <f t="shared" si="84"/>
        <v>0</v>
      </c>
      <c r="P101" s="9">
        <f t="shared" si="91"/>
        <v>0</v>
      </c>
      <c r="Q101" s="9">
        <f t="shared" si="92"/>
        <v>0</v>
      </c>
      <c r="R101" s="9">
        <f t="shared" si="93"/>
        <v>0</v>
      </c>
      <c r="S101">
        <v>0</v>
      </c>
      <c r="T101">
        <v>1</v>
      </c>
      <c r="U101">
        <v>0</v>
      </c>
      <c r="V101" s="12">
        <f t="shared" si="94"/>
        <v>0</v>
      </c>
      <c r="W101" s="9">
        <f t="shared" si="85"/>
        <v>1</v>
      </c>
      <c r="X101" s="9">
        <f t="shared" si="95"/>
        <v>1</v>
      </c>
      <c r="Y101" s="9">
        <f t="shared" si="96"/>
        <v>0</v>
      </c>
      <c r="Z101" s="9">
        <f t="shared" si="97"/>
        <v>1</v>
      </c>
      <c r="AA101">
        <v>0</v>
      </c>
      <c r="AB101">
        <v>0</v>
      </c>
      <c r="AC101">
        <v>0</v>
      </c>
      <c r="AD101" s="12">
        <f t="shared" si="98"/>
        <v>0</v>
      </c>
      <c r="AE101" s="9">
        <f t="shared" si="99"/>
        <v>0</v>
      </c>
      <c r="AF101" s="9">
        <f t="shared" si="100"/>
        <v>0</v>
      </c>
      <c r="AG101" s="9">
        <f t="shared" si="101"/>
        <v>0</v>
      </c>
      <c r="AH101" s="9">
        <f t="shared" si="102"/>
        <v>0</v>
      </c>
      <c r="AI101" s="15">
        <f t="shared" si="103"/>
        <v>0</v>
      </c>
      <c r="AJ101" s="15">
        <f t="shared" si="104"/>
        <v>1</v>
      </c>
      <c r="AK101" s="15">
        <f t="shared" si="105"/>
        <v>0</v>
      </c>
      <c r="AL101" s="12">
        <f t="shared" si="106"/>
        <v>0</v>
      </c>
      <c r="AM101" s="12">
        <f t="shared" si="107"/>
        <v>0</v>
      </c>
      <c r="AN101" s="9">
        <f t="shared" si="108"/>
        <v>1</v>
      </c>
      <c r="AO101" s="9">
        <f t="shared" si="109"/>
        <v>1</v>
      </c>
      <c r="AP101" s="9">
        <f t="shared" si="110"/>
        <v>0</v>
      </c>
      <c r="AQ101" s="9">
        <f t="shared" si="111"/>
        <v>1</v>
      </c>
    </row>
    <row r="102">
      <c r="A102">
        <v>600</v>
      </c>
      <c r="B102" s="1" t="s">
        <v>205</v>
      </c>
      <c r="C102">
        <v>1</v>
      </c>
      <c r="D102">
        <v>1</v>
      </c>
      <c r="E102">
        <v>1</v>
      </c>
      <c r="F102" s="12">
        <f t="shared" si="86"/>
        <v>1</v>
      </c>
      <c r="G102" s="9">
        <f t="shared" si="83"/>
        <v>3</v>
      </c>
      <c r="H102" s="9">
        <f t="shared" si="87"/>
        <v>2</v>
      </c>
      <c r="I102" s="9">
        <f t="shared" si="88"/>
        <v>2</v>
      </c>
      <c r="J102" s="9">
        <f t="shared" si="89"/>
        <v>2</v>
      </c>
      <c r="K102">
        <v>0</v>
      </c>
      <c r="L102">
        <v>0</v>
      </c>
      <c r="M102">
        <v>0</v>
      </c>
      <c r="N102" s="12">
        <f t="shared" si="90"/>
        <v>0</v>
      </c>
      <c r="O102" s="9">
        <f t="shared" si="84"/>
        <v>0</v>
      </c>
      <c r="P102" s="9">
        <f t="shared" si="91"/>
        <v>0</v>
      </c>
      <c r="Q102" s="9">
        <f t="shared" si="92"/>
        <v>0</v>
      </c>
      <c r="R102" s="9">
        <f t="shared" si="93"/>
        <v>0</v>
      </c>
      <c r="S102">
        <v>0</v>
      </c>
      <c r="T102">
        <v>0</v>
      </c>
      <c r="U102">
        <v>0</v>
      </c>
      <c r="V102" s="12">
        <f t="shared" si="94"/>
        <v>0</v>
      </c>
      <c r="W102" s="9">
        <f t="shared" si="85"/>
        <v>0</v>
      </c>
      <c r="X102" s="9">
        <f t="shared" si="95"/>
        <v>0</v>
      </c>
      <c r="Y102" s="9">
        <f t="shared" si="96"/>
        <v>0</v>
      </c>
      <c r="Z102" s="9">
        <f t="shared" si="97"/>
        <v>0</v>
      </c>
      <c r="AA102">
        <v>0</v>
      </c>
      <c r="AB102">
        <v>0</v>
      </c>
      <c r="AC102">
        <v>0</v>
      </c>
      <c r="AD102" s="12">
        <f t="shared" si="98"/>
        <v>0</v>
      </c>
      <c r="AE102" s="9">
        <f t="shared" si="99"/>
        <v>0</v>
      </c>
      <c r="AF102" s="9">
        <f t="shared" si="100"/>
        <v>0</v>
      </c>
      <c r="AG102" s="9">
        <f t="shared" si="101"/>
        <v>0</v>
      </c>
      <c r="AH102" s="9">
        <f t="shared" si="102"/>
        <v>0</v>
      </c>
      <c r="AI102" s="15">
        <f t="shared" si="103"/>
        <v>1</v>
      </c>
      <c r="AJ102" s="15">
        <f t="shared" si="104"/>
        <v>1</v>
      </c>
      <c r="AK102" s="15">
        <f t="shared" si="105"/>
        <v>1</v>
      </c>
      <c r="AL102" s="12">
        <f t="shared" si="106"/>
        <v>1</v>
      </c>
      <c r="AM102" s="12">
        <f t="shared" si="107"/>
        <v>1</v>
      </c>
      <c r="AN102" s="9">
        <f t="shared" si="108"/>
        <v>3</v>
      </c>
      <c r="AO102" s="9">
        <f t="shared" si="109"/>
        <v>2</v>
      </c>
      <c r="AP102" s="9">
        <f t="shared" si="110"/>
        <v>2</v>
      </c>
      <c r="AQ102" s="9">
        <f t="shared" si="111"/>
        <v>2</v>
      </c>
    </row>
    <row r="103" ht="29.100000000000001">
      <c r="A103">
        <v>601</v>
      </c>
      <c r="B103" s="1" t="s">
        <v>207</v>
      </c>
      <c r="C103">
        <v>0</v>
      </c>
      <c r="D103">
        <v>0</v>
      </c>
      <c r="E103">
        <v>0</v>
      </c>
      <c r="F103" s="12">
        <f t="shared" si="86"/>
        <v>0</v>
      </c>
      <c r="G103" s="9">
        <f t="shared" si="83"/>
        <v>0</v>
      </c>
      <c r="H103" s="9">
        <f t="shared" si="87"/>
        <v>0</v>
      </c>
      <c r="I103" s="9">
        <f t="shared" si="88"/>
        <v>0</v>
      </c>
      <c r="J103" s="9">
        <f t="shared" si="89"/>
        <v>0</v>
      </c>
      <c r="K103">
        <v>1</v>
      </c>
      <c r="L103">
        <v>0</v>
      </c>
      <c r="M103">
        <v>0</v>
      </c>
      <c r="N103" s="12">
        <f t="shared" si="90"/>
        <v>0</v>
      </c>
      <c r="O103" s="9">
        <f t="shared" si="84"/>
        <v>1</v>
      </c>
      <c r="P103" s="9">
        <f t="shared" si="91"/>
        <v>1</v>
      </c>
      <c r="Q103" s="9">
        <f t="shared" si="92"/>
        <v>1</v>
      </c>
      <c r="R103" s="9">
        <f t="shared" si="93"/>
        <v>0</v>
      </c>
      <c r="S103">
        <v>0</v>
      </c>
      <c r="T103">
        <v>0</v>
      </c>
      <c r="U103">
        <v>0</v>
      </c>
      <c r="V103" s="12">
        <f t="shared" si="94"/>
        <v>0</v>
      </c>
      <c r="W103" s="9">
        <f t="shared" si="85"/>
        <v>0</v>
      </c>
      <c r="X103" s="9">
        <f t="shared" si="95"/>
        <v>0</v>
      </c>
      <c r="Y103" s="9">
        <f t="shared" si="96"/>
        <v>0</v>
      </c>
      <c r="Z103" s="9">
        <f t="shared" si="97"/>
        <v>0</v>
      </c>
      <c r="AA103">
        <v>1</v>
      </c>
      <c r="AB103">
        <v>1</v>
      </c>
      <c r="AC103">
        <v>1</v>
      </c>
      <c r="AD103" s="12">
        <f t="shared" si="98"/>
        <v>1</v>
      </c>
      <c r="AE103" s="9">
        <f t="shared" si="99"/>
        <v>3</v>
      </c>
      <c r="AF103" s="9">
        <f t="shared" si="100"/>
        <v>2</v>
      </c>
      <c r="AG103" s="9">
        <f t="shared" si="101"/>
        <v>2</v>
      </c>
      <c r="AH103" s="9">
        <f t="shared" si="102"/>
        <v>2</v>
      </c>
      <c r="AI103" s="15">
        <f t="shared" si="103"/>
        <v>1</v>
      </c>
      <c r="AJ103" s="15">
        <f t="shared" si="104"/>
        <v>1</v>
      </c>
      <c r="AK103" s="15">
        <f t="shared" si="105"/>
        <v>1</v>
      </c>
      <c r="AL103" s="12">
        <f t="shared" si="106"/>
        <v>1</v>
      </c>
      <c r="AM103" s="12">
        <f t="shared" si="107"/>
        <v>1</v>
      </c>
      <c r="AN103" s="9">
        <f t="shared" si="108"/>
        <v>3</v>
      </c>
      <c r="AO103" s="9">
        <f t="shared" si="109"/>
        <v>2</v>
      </c>
      <c r="AP103" s="9">
        <f t="shared" si="110"/>
        <v>2</v>
      </c>
      <c r="AQ103" s="9">
        <f t="shared" si="111"/>
        <v>2</v>
      </c>
    </row>
    <row r="104" ht="29.100000000000001">
      <c r="A104">
        <v>608</v>
      </c>
      <c r="B104" s="1" t="s">
        <v>210</v>
      </c>
      <c r="C104">
        <v>0</v>
      </c>
      <c r="D104">
        <v>0</v>
      </c>
      <c r="E104">
        <v>0</v>
      </c>
      <c r="F104" s="12">
        <f t="shared" si="86"/>
        <v>0</v>
      </c>
      <c r="G104" s="9">
        <f t="shared" si="83"/>
        <v>0</v>
      </c>
      <c r="H104" s="9">
        <f t="shared" si="87"/>
        <v>0</v>
      </c>
      <c r="I104" s="9">
        <f t="shared" si="88"/>
        <v>0</v>
      </c>
      <c r="J104" s="9">
        <f t="shared" si="89"/>
        <v>0</v>
      </c>
      <c r="K104">
        <v>0</v>
      </c>
      <c r="L104">
        <v>0</v>
      </c>
      <c r="M104">
        <v>0</v>
      </c>
      <c r="N104" s="12">
        <f t="shared" si="90"/>
        <v>0</v>
      </c>
      <c r="O104" s="9">
        <f t="shared" si="84"/>
        <v>0</v>
      </c>
      <c r="P104" s="9">
        <f t="shared" si="91"/>
        <v>0</v>
      </c>
      <c r="Q104" s="9">
        <f t="shared" si="92"/>
        <v>0</v>
      </c>
      <c r="R104" s="9">
        <f t="shared" si="93"/>
        <v>0</v>
      </c>
      <c r="S104">
        <v>0</v>
      </c>
      <c r="T104">
        <v>0</v>
      </c>
      <c r="U104">
        <v>0</v>
      </c>
      <c r="V104" s="12">
        <f t="shared" si="94"/>
        <v>0</v>
      </c>
      <c r="W104" s="9">
        <f t="shared" si="85"/>
        <v>0</v>
      </c>
      <c r="X104" s="9">
        <f t="shared" si="95"/>
        <v>0</v>
      </c>
      <c r="Y104" s="9">
        <f t="shared" si="96"/>
        <v>0</v>
      </c>
      <c r="Z104" s="9">
        <f t="shared" si="97"/>
        <v>0</v>
      </c>
      <c r="AA104">
        <v>0</v>
      </c>
      <c r="AB104">
        <v>1</v>
      </c>
      <c r="AC104">
        <v>0</v>
      </c>
      <c r="AD104" s="12">
        <f t="shared" si="98"/>
        <v>0</v>
      </c>
      <c r="AE104" s="9">
        <f t="shared" si="99"/>
        <v>1</v>
      </c>
      <c r="AF104" s="9">
        <f t="shared" si="100"/>
        <v>1</v>
      </c>
      <c r="AG104" s="9">
        <f t="shared" si="101"/>
        <v>0</v>
      </c>
      <c r="AH104" s="9">
        <f t="shared" si="102"/>
        <v>1</v>
      </c>
      <c r="AI104" s="15">
        <f t="shared" si="103"/>
        <v>0</v>
      </c>
      <c r="AJ104" s="15">
        <f t="shared" si="104"/>
        <v>1</v>
      </c>
      <c r="AK104" s="15">
        <f t="shared" si="105"/>
        <v>0</v>
      </c>
      <c r="AL104" s="12">
        <f t="shared" si="106"/>
        <v>0</v>
      </c>
      <c r="AM104" s="12">
        <f t="shared" si="107"/>
        <v>0</v>
      </c>
      <c r="AN104" s="9">
        <f t="shared" si="108"/>
        <v>1</v>
      </c>
      <c r="AO104" s="9">
        <f t="shared" si="109"/>
        <v>1</v>
      </c>
      <c r="AP104" s="9">
        <f t="shared" si="110"/>
        <v>0</v>
      </c>
      <c r="AQ104" s="9">
        <f t="shared" si="111"/>
        <v>1</v>
      </c>
    </row>
    <row r="105">
      <c r="A105">
        <v>609</v>
      </c>
      <c r="B105" s="1" t="s">
        <v>211</v>
      </c>
      <c r="C105">
        <v>0</v>
      </c>
      <c r="D105">
        <v>0</v>
      </c>
      <c r="E105">
        <v>0</v>
      </c>
      <c r="F105" s="12">
        <f t="shared" si="86"/>
        <v>0</v>
      </c>
      <c r="G105" s="9">
        <f t="shared" si="83"/>
        <v>0</v>
      </c>
      <c r="H105" s="9">
        <f t="shared" si="87"/>
        <v>0</v>
      </c>
      <c r="I105" s="9">
        <f t="shared" si="88"/>
        <v>0</v>
      </c>
      <c r="J105" s="9">
        <f t="shared" si="89"/>
        <v>0</v>
      </c>
      <c r="K105">
        <v>0</v>
      </c>
      <c r="L105">
        <v>0</v>
      </c>
      <c r="M105">
        <v>0</v>
      </c>
      <c r="N105" s="12">
        <f t="shared" si="90"/>
        <v>0</v>
      </c>
      <c r="O105" s="9">
        <f t="shared" si="84"/>
        <v>0</v>
      </c>
      <c r="P105" s="9">
        <f t="shared" si="91"/>
        <v>0</v>
      </c>
      <c r="Q105" s="9">
        <f t="shared" si="92"/>
        <v>0</v>
      </c>
      <c r="R105" s="9">
        <f t="shared" si="93"/>
        <v>0</v>
      </c>
      <c r="S105">
        <v>0</v>
      </c>
      <c r="T105">
        <v>0</v>
      </c>
      <c r="U105">
        <v>0</v>
      </c>
      <c r="V105" s="12">
        <f t="shared" si="94"/>
        <v>0</v>
      </c>
      <c r="W105" s="9">
        <f t="shared" si="85"/>
        <v>0</v>
      </c>
      <c r="X105" s="9">
        <f t="shared" si="95"/>
        <v>0</v>
      </c>
      <c r="Y105" s="9">
        <f t="shared" si="96"/>
        <v>0</v>
      </c>
      <c r="Z105" s="9">
        <f t="shared" si="97"/>
        <v>0</v>
      </c>
      <c r="AA105">
        <v>0</v>
      </c>
      <c r="AB105">
        <v>0</v>
      </c>
      <c r="AC105">
        <v>0</v>
      </c>
      <c r="AD105" s="12">
        <f t="shared" si="98"/>
        <v>0</v>
      </c>
      <c r="AE105" s="9">
        <f t="shared" si="99"/>
        <v>0</v>
      </c>
      <c r="AF105" s="9">
        <f t="shared" si="100"/>
        <v>0</v>
      </c>
      <c r="AG105" s="9">
        <f t="shared" si="101"/>
        <v>0</v>
      </c>
      <c r="AH105" s="9">
        <f t="shared" si="102"/>
        <v>0</v>
      </c>
      <c r="AI105" s="15">
        <f t="shared" si="103"/>
        <v>0</v>
      </c>
      <c r="AJ105" s="15">
        <f t="shared" si="104"/>
        <v>0</v>
      </c>
      <c r="AK105" s="15">
        <f t="shared" si="105"/>
        <v>0</v>
      </c>
      <c r="AL105" s="12">
        <f t="shared" si="106"/>
        <v>0</v>
      </c>
      <c r="AM105" s="12">
        <f t="shared" si="107"/>
        <v>0</v>
      </c>
      <c r="AN105" s="9">
        <f t="shared" si="108"/>
        <v>0</v>
      </c>
      <c r="AO105" s="9">
        <f t="shared" si="109"/>
        <v>0</v>
      </c>
      <c r="AP105" s="9">
        <f t="shared" si="110"/>
        <v>0</v>
      </c>
      <c r="AQ105" s="9">
        <f t="shared" si="111"/>
        <v>0</v>
      </c>
    </row>
    <row r="106" ht="29.100000000000001">
      <c r="A106">
        <v>610</v>
      </c>
      <c r="B106" s="1" t="s">
        <v>212</v>
      </c>
      <c r="C106">
        <v>0</v>
      </c>
      <c r="D106">
        <v>0</v>
      </c>
      <c r="E106">
        <v>0</v>
      </c>
      <c r="F106" s="12">
        <f t="shared" si="86"/>
        <v>0</v>
      </c>
      <c r="G106" s="9">
        <f t="shared" si="83"/>
        <v>0</v>
      </c>
      <c r="H106" s="9">
        <f t="shared" si="87"/>
        <v>0</v>
      </c>
      <c r="I106" s="9">
        <f t="shared" si="88"/>
        <v>0</v>
      </c>
      <c r="J106" s="9">
        <f t="shared" si="89"/>
        <v>0</v>
      </c>
      <c r="K106">
        <v>0</v>
      </c>
      <c r="L106">
        <v>0</v>
      </c>
      <c r="M106">
        <v>0</v>
      </c>
      <c r="N106" s="12">
        <f t="shared" si="90"/>
        <v>0</v>
      </c>
      <c r="O106" s="9">
        <f t="shared" si="84"/>
        <v>0</v>
      </c>
      <c r="P106" s="9">
        <f t="shared" si="91"/>
        <v>0</v>
      </c>
      <c r="Q106" s="9">
        <f t="shared" si="92"/>
        <v>0</v>
      </c>
      <c r="R106" s="9">
        <f t="shared" si="93"/>
        <v>0</v>
      </c>
      <c r="S106">
        <v>1</v>
      </c>
      <c r="T106">
        <v>1</v>
      </c>
      <c r="U106">
        <v>1</v>
      </c>
      <c r="V106" s="12">
        <f t="shared" si="94"/>
        <v>1</v>
      </c>
      <c r="W106" s="9">
        <f t="shared" si="85"/>
        <v>3</v>
      </c>
      <c r="X106" s="9">
        <f t="shared" si="95"/>
        <v>2</v>
      </c>
      <c r="Y106" s="9">
        <f t="shared" si="96"/>
        <v>2</v>
      </c>
      <c r="Z106" s="9">
        <f t="shared" si="97"/>
        <v>2</v>
      </c>
      <c r="AA106">
        <v>0</v>
      </c>
      <c r="AB106">
        <v>0</v>
      </c>
      <c r="AC106">
        <v>0</v>
      </c>
      <c r="AD106" s="12">
        <f t="shared" si="98"/>
        <v>0</v>
      </c>
      <c r="AE106" s="9">
        <f t="shared" si="99"/>
        <v>0</v>
      </c>
      <c r="AF106" s="9">
        <f t="shared" si="100"/>
        <v>0</v>
      </c>
      <c r="AG106" s="9">
        <f t="shared" si="101"/>
        <v>0</v>
      </c>
      <c r="AH106" s="9">
        <f t="shared" si="102"/>
        <v>0</v>
      </c>
      <c r="AI106" s="15">
        <f t="shared" si="103"/>
        <v>1</v>
      </c>
      <c r="AJ106" s="15">
        <f t="shared" si="104"/>
        <v>1</v>
      </c>
      <c r="AK106" s="15">
        <f t="shared" si="105"/>
        <v>1</v>
      </c>
      <c r="AL106" s="12">
        <f t="shared" si="106"/>
        <v>1</v>
      </c>
      <c r="AM106" s="12">
        <f t="shared" si="107"/>
        <v>1</v>
      </c>
      <c r="AN106" s="9">
        <f t="shared" si="108"/>
        <v>3</v>
      </c>
      <c r="AO106" s="9">
        <f t="shared" si="109"/>
        <v>2</v>
      </c>
      <c r="AP106" s="9">
        <f t="shared" si="110"/>
        <v>2</v>
      </c>
      <c r="AQ106" s="9">
        <f t="shared" si="111"/>
        <v>2</v>
      </c>
    </row>
    <row r="107">
      <c r="A107">
        <v>614</v>
      </c>
      <c r="B107" s="1" t="s">
        <v>213</v>
      </c>
      <c r="C107">
        <v>0</v>
      </c>
      <c r="D107">
        <v>0</v>
      </c>
      <c r="E107">
        <v>0</v>
      </c>
      <c r="F107" s="12">
        <f t="shared" si="86"/>
        <v>0</v>
      </c>
      <c r="G107" s="9">
        <f t="shared" si="83"/>
        <v>0</v>
      </c>
      <c r="H107" s="9">
        <f t="shared" si="87"/>
        <v>0</v>
      </c>
      <c r="I107" s="9">
        <f t="shared" si="88"/>
        <v>0</v>
      </c>
      <c r="J107" s="9">
        <f t="shared" si="89"/>
        <v>0</v>
      </c>
      <c r="K107">
        <v>0</v>
      </c>
      <c r="L107">
        <v>0</v>
      </c>
      <c r="M107">
        <v>0</v>
      </c>
      <c r="N107" s="12">
        <f t="shared" si="90"/>
        <v>0</v>
      </c>
      <c r="O107" s="9">
        <f t="shared" si="84"/>
        <v>0</v>
      </c>
      <c r="P107" s="9">
        <f t="shared" si="91"/>
        <v>0</v>
      </c>
      <c r="Q107" s="9">
        <f t="shared" si="92"/>
        <v>0</v>
      </c>
      <c r="R107" s="9">
        <f t="shared" si="93"/>
        <v>0</v>
      </c>
      <c r="S107">
        <v>0</v>
      </c>
      <c r="T107">
        <v>0</v>
      </c>
      <c r="U107">
        <v>0</v>
      </c>
      <c r="V107" s="12">
        <f t="shared" si="94"/>
        <v>0</v>
      </c>
      <c r="W107" s="9">
        <f t="shared" si="85"/>
        <v>0</v>
      </c>
      <c r="X107" s="9">
        <f t="shared" si="95"/>
        <v>0</v>
      </c>
      <c r="Y107" s="9">
        <f t="shared" si="96"/>
        <v>0</v>
      </c>
      <c r="Z107" s="9">
        <f t="shared" si="97"/>
        <v>0</v>
      </c>
      <c r="AA107">
        <v>0</v>
      </c>
      <c r="AB107">
        <v>1</v>
      </c>
      <c r="AC107">
        <v>0</v>
      </c>
      <c r="AD107" s="12">
        <f t="shared" si="98"/>
        <v>0</v>
      </c>
      <c r="AE107" s="9">
        <f t="shared" si="99"/>
        <v>1</v>
      </c>
      <c r="AF107" s="9">
        <f t="shared" si="100"/>
        <v>1</v>
      </c>
      <c r="AG107" s="9">
        <f t="shared" si="101"/>
        <v>0</v>
      </c>
      <c r="AH107" s="9">
        <f t="shared" si="102"/>
        <v>1</v>
      </c>
      <c r="AI107" s="15">
        <f t="shared" si="103"/>
        <v>0</v>
      </c>
      <c r="AJ107" s="15">
        <f t="shared" si="104"/>
        <v>1</v>
      </c>
      <c r="AK107" s="15">
        <f t="shared" si="105"/>
        <v>0</v>
      </c>
      <c r="AL107" s="12">
        <f t="shared" si="106"/>
        <v>0</v>
      </c>
      <c r="AM107" s="12">
        <f t="shared" si="107"/>
        <v>0</v>
      </c>
      <c r="AN107" s="9">
        <f t="shared" si="108"/>
        <v>1</v>
      </c>
      <c r="AO107" s="9">
        <f t="shared" si="109"/>
        <v>1</v>
      </c>
      <c r="AP107" s="9">
        <f t="shared" si="110"/>
        <v>0</v>
      </c>
      <c r="AQ107" s="9">
        <f t="shared" si="111"/>
        <v>1</v>
      </c>
    </row>
    <row r="108">
      <c r="A108">
        <v>617</v>
      </c>
      <c r="B108" s="1" t="s">
        <v>214</v>
      </c>
      <c r="C108">
        <v>0</v>
      </c>
      <c r="D108">
        <v>0</v>
      </c>
      <c r="E108">
        <v>0</v>
      </c>
      <c r="F108" s="12">
        <f t="shared" si="86"/>
        <v>0</v>
      </c>
      <c r="G108" s="9">
        <f t="shared" si="83"/>
        <v>0</v>
      </c>
      <c r="H108" s="9">
        <f t="shared" si="87"/>
        <v>0</v>
      </c>
      <c r="I108" s="9">
        <f t="shared" si="88"/>
        <v>0</v>
      </c>
      <c r="J108" s="9">
        <f t="shared" si="89"/>
        <v>0</v>
      </c>
      <c r="K108">
        <v>0</v>
      </c>
      <c r="L108">
        <v>0</v>
      </c>
      <c r="M108">
        <v>0</v>
      </c>
      <c r="N108" s="12">
        <f t="shared" si="90"/>
        <v>0</v>
      </c>
      <c r="O108" s="9">
        <f t="shared" si="84"/>
        <v>0</v>
      </c>
      <c r="P108" s="9">
        <f t="shared" si="91"/>
        <v>0</v>
      </c>
      <c r="Q108" s="9">
        <f t="shared" si="92"/>
        <v>0</v>
      </c>
      <c r="R108" s="9">
        <f t="shared" si="93"/>
        <v>0</v>
      </c>
      <c r="S108">
        <v>0</v>
      </c>
      <c r="T108">
        <v>1</v>
      </c>
      <c r="U108">
        <v>0</v>
      </c>
      <c r="V108" s="12">
        <f t="shared" si="94"/>
        <v>0</v>
      </c>
      <c r="W108" s="9">
        <f t="shared" si="85"/>
        <v>1</v>
      </c>
      <c r="X108" s="9">
        <f t="shared" si="95"/>
        <v>1</v>
      </c>
      <c r="Y108" s="9">
        <f t="shared" si="96"/>
        <v>0</v>
      </c>
      <c r="Z108" s="9">
        <f t="shared" si="97"/>
        <v>1</v>
      </c>
      <c r="AA108">
        <v>0</v>
      </c>
      <c r="AB108">
        <v>0</v>
      </c>
      <c r="AC108">
        <v>0</v>
      </c>
      <c r="AD108" s="12">
        <f t="shared" si="98"/>
        <v>0</v>
      </c>
      <c r="AE108" s="9">
        <f t="shared" si="99"/>
        <v>0</v>
      </c>
      <c r="AF108" s="9">
        <f t="shared" si="100"/>
        <v>0</v>
      </c>
      <c r="AG108" s="9">
        <f t="shared" si="101"/>
        <v>0</v>
      </c>
      <c r="AH108" s="9">
        <f t="shared" si="102"/>
        <v>0</v>
      </c>
      <c r="AI108" s="15">
        <f t="shared" si="103"/>
        <v>0</v>
      </c>
      <c r="AJ108" s="15">
        <f t="shared" si="104"/>
        <v>1</v>
      </c>
      <c r="AK108" s="15">
        <f t="shared" si="105"/>
        <v>0</v>
      </c>
      <c r="AL108" s="12">
        <f t="shared" si="106"/>
        <v>0</v>
      </c>
      <c r="AM108" s="12">
        <f t="shared" si="107"/>
        <v>0</v>
      </c>
      <c r="AN108" s="9">
        <f t="shared" si="108"/>
        <v>1</v>
      </c>
      <c r="AO108" s="9">
        <f t="shared" si="109"/>
        <v>1</v>
      </c>
      <c r="AP108" s="9">
        <f t="shared" si="110"/>
        <v>0</v>
      </c>
      <c r="AQ108" s="9">
        <f t="shared" si="111"/>
        <v>1</v>
      </c>
    </row>
    <row r="109" ht="29.100000000000001">
      <c r="A109">
        <v>622</v>
      </c>
      <c r="B109" s="1" t="s">
        <v>216</v>
      </c>
      <c r="C109">
        <v>0</v>
      </c>
      <c r="D109">
        <v>1</v>
      </c>
      <c r="E109">
        <v>0</v>
      </c>
      <c r="F109" s="12">
        <f t="shared" si="86"/>
        <v>0</v>
      </c>
      <c r="G109" s="9">
        <f t="shared" si="83"/>
        <v>1</v>
      </c>
      <c r="H109" s="9">
        <f t="shared" si="87"/>
        <v>1</v>
      </c>
      <c r="I109" s="9">
        <f t="shared" si="88"/>
        <v>0</v>
      </c>
      <c r="J109" s="9">
        <f t="shared" si="89"/>
        <v>1</v>
      </c>
      <c r="K109">
        <v>0</v>
      </c>
      <c r="L109">
        <v>0</v>
      </c>
      <c r="M109">
        <v>0</v>
      </c>
      <c r="N109" s="12">
        <f t="shared" si="90"/>
        <v>0</v>
      </c>
      <c r="O109" s="9">
        <f t="shared" si="84"/>
        <v>0</v>
      </c>
      <c r="P109" s="9">
        <f t="shared" si="91"/>
        <v>0</v>
      </c>
      <c r="Q109" s="9">
        <f t="shared" si="92"/>
        <v>0</v>
      </c>
      <c r="R109" s="9">
        <f t="shared" si="93"/>
        <v>0</v>
      </c>
      <c r="S109">
        <v>0</v>
      </c>
      <c r="T109">
        <v>1</v>
      </c>
      <c r="U109">
        <v>0</v>
      </c>
      <c r="V109" s="12">
        <f t="shared" si="94"/>
        <v>0</v>
      </c>
      <c r="W109" s="9">
        <f t="shared" si="85"/>
        <v>1</v>
      </c>
      <c r="X109" s="9">
        <f t="shared" si="95"/>
        <v>1</v>
      </c>
      <c r="Y109" s="9">
        <f t="shared" si="96"/>
        <v>0</v>
      </c>
      <c r="Z109" s="9">
        <f t="shared" si="97"/>
        <v>1</v>
      </c>
      <c r="AA109">
        <v>0</v>
      </c>
      <c r="AB109">
        <v>0</v>
      </c>
      <c r="AC109">
        <v>0</v>
      </c>
      <c r="AD109" s="12">
        <f t="shared" si="98"/>
        <v>0</v>
      </c>
      <c r="AE109" s="9">
        <f t="shared" si="99"/>
        <v>0</v>
      </c>
      <c r="AF109" s="9">
        <f t="shared" si="100"/>
        <v>0</v>
      </c>
      <c r="AG109" s="9">
        <f t="shared" si="101"/>
        <v>0</v>
      </c>
      <c r="AH109" s="9">
        <f t="shared" si="102"/>
        <v>0</v>
      </c>
      <c r="AI109" s="15">
        <f t="shared" si="103"/>
        <v>0</v>
      </c>
      <c r="AJ109" s="15">
        <f t="shared" si="104"/>
        <v>1</v>
      </c>
      <c r="AK109" s="15">
        <f t="shared" si="105"/>
        <v>0</v>
      </c>
      <c r="AL109" s="12">
        <f t="shared" si="106"/>
        <v>0</v>
      </c>
      <c r="AM109" s="12">
        <f t="shared" si="107"/>
        <v>0</v>
      </c>
      <c r="AN109" s="9">
        <f t="shared" si="108"/>
        <v>1</v>
      </c>
      <c r="AO109" s="9">
        <f t="shared" si="109"/>
        <v>1</v>
      </c>
      <c r="AP109" s="9">
        <f t="shared" si="110"/>
        <v>0</v>
      </c>
      <c r="AQ109" s="9">
        <f t="shared" si="111"/>
        <v>1</v>
      </c>
    </row>
    <row r="110">
      <c r="A110">
        <v>629</v>
      </c>
      <c r="B110" s="1" t="s">
        <v>217</v>
      </c>
      <c r="C110">
        <v>1</v>
      </c>
      <c r="D110">
        <v>1</v>
      </c>
      <c r="E110">
        <v>1</v>
      </c>
      <c r="F110" s="12">
        <f t="shared" si="86"/>
        <v>1</v>
      </c>
      <c r="G110" s="9">
        <f t="shared" si="83"/>
        <v>3</v>
      </c>
      <c r="H110" s="9">
        <f t="shared" si="87"/>
        <v>2</v>
      </c>
      <c r="I110" s="9">
        <f t="shared" si="88"/>
        <v>2</v>
      </c>
      <c r="J110" s="9">
        <f t="shared" si="89"/>
        <v>2</v>
      </c>
      <c r="K110">
        <v>0</v>
      </c>
      <c r="L110">
        <v>0</v>
      </c>
      <c r="M110">
        <v>0</v>
      </c>
      <c r="N110" s="12">
        <f t="shared" si="90"/>
        <v>0</v>
      </c>
      <c r="O110" s="9">
        <f t="shared" si="84"/>
        <v>0</v>
      </c>
      <c r="P110" s="9">
        <f t="shared" si="91"/>
        <v>0</v>
      </c>
      <c r="Q110" s="9">
        <f t="shared" si="92"/>
        <v>0</v>
      </c>
      <c r="R110" s="9">
        <f t="shared" si="93"/>
        <v>0</v>
      </c>
      <c r="S110">
        <v>0</v>
      </c>
      <c r="T110">
        <v>1</v>
      </c>
      <c r="U110">
        <v>0</v>
      </c>
      <c r="V110" s="12">
        <f t="shared" si="94"/>
        <v>0</v>
      </c>
      <c r="W110" s="9">
        <f t="shared" si="85"/>
        <v>1</v>
      </c>
      <c r="X110" s="9">
        <f t="shared" si="95"/>
        <v>1</v>
      </c>
      <c r="Y110" s="9">
        <f t="shared" si="96"/>
        <v>0</v>
      </c>
      <c r="Z110" s="9">
        <f t="shared" si="97"/>
        <v>1</v>
      </c>
      <c r="AA110">
        <v>0</v>
      </c>
      <c r="AB110">
        <v>0</v>
      </c>
      <c r="AC110">
        <v>0</v>
      </c>
      <c r="AD110" s="12">
        <f t="shared" si="98"/>
        <v>0</v>
      </c>
      <c r="AE110" s="9">
        <f t="shared" si="99"/>
        <v>0</v>
      </c>
      <c r="AF110" s="9">
        <f t="shared" si="100"/>
        <v>0</v>
      </c>
      <c r="AG110" s="9">
        <f t="shared" si="101"/>
        <v>0</v>
      </c>
      <c r="AH110" s="9">
        <f t="shared" si="102"/>
        <v>0</v>
      </c>
      <c r="AI110" s="15">
        <f t="shared" si="103"/>
        <v>1</v>
      </c>
      <c r="AJ110" s="15">
        <f t="shared" si="104"/>
        <v>1</v>
      </c>
      <c r="AK110" s="15">
        <f t="shared" si="105"/>
        <v>1</v>
      </c>
      <c r="AL110" s="12">
        <f t="shared" si="106"/>
        <v>1</v>
      </c>
      <c r="AM110" s="12">
        <f t="shared" si="107"/>
        <v>1</v>
      </c>
      <c r="AN110" s="9">
        <f t="shared" si="108"/>
        <v>3</v>
      </c>
      <c r="AO110" s="9">
        <f t="shared" si="109"/>
        <v>2</v>
      </c>
      <c r="AP110" s="9">
        <f t="shared" si="110"/>
        <v>2</v>
      </c>
      <c r="AQ110" s="9">
        <f t="shared" si="111"/>
        <v>2</v>
      </c>
    </row>
    <row r="111">
      <c r="A111">
        <v>635</v>
      </c>
      <c r="B111" s="1" t="s">
        <v>220</v>
      </c>
      <c r="C111">
        <v>0</v>
      </c>
      <c r="D111">
        <v>1</v>
      </c>
      <c r="E111">
        <v>0</v>
      </c>
      <c r="F111" s="12">
        <f t="shared" si="86"/>
        <v>0</v>
      </c>
      <c r="G111" s="9">
        <f t="shared" si="83"/>
        <v>1</v>
      </c>
      <c r="H111" s="9">
        <f t="shared" si="87"/>
        <v>1</v>
      </c>
      <c r="I111" s="9">
        <f t="shared" si="88"/>
        <v>0</v>
      </c>
      <c r="J111" s="9">
        <f t="shared" si="89"/>
        <v>1</v>
      </c>
      <c r="K111">
        <v>0</v>
      </c>
      <c r="L111">
        <v>1</v>
      </c>
      <c r="M111">
        <v>0</v>
      </c>
      <c r="N111" s="12">
        <f t="shared" si="90"/>
        <v>0</v>
      </c>
      <c r="O111" s="9">
        <f t="shared" si="84"/>
        <v>1</v>
      </c>
      <c r="P111" s="9">
        <f t="shared" si="91"/>
        <v>1</v>
      </c>
      <c r="Q111" s="9">
        <f t="shared" si="92"/>
        <v>0</v>
      </c>
      <c r="R111" s="9">
        <f t="shared" si="93"/>
        <v>1</v>
      </c>
      <c r="S111">
        <v>1</v>
      </c>
      <c r="T111">
        <v>0</v>
      </c>
      <c r="U111">
        <v>1</v>
      </c>
      <c r="V111" s="12">
        <f t="shared" si="94"/>
        <v>1</v>
      </c>
      <c r="W111" s="9">
        <f t="shared" si="85"/>
        <v>2</v>
      </c>
      <c r="X111" s="9">
        <f t="shared" si="95"/>
        <v>1</v>
      </c>
      <c r="Y111" s="9">
        <f t="shared" si="96"/>
        <v>2</v>
      </c>
      <c r="Z111" s="9">
        <f t="shared" si="97"/>
        <v>1</v>
      </c>
      <c r="AA111">
        <v>0</v>
      </c>
      <c r="AB111">
        <v>0</v>
      </c>
      <c r="AC111">
        <v>0</v>
      </c>
      <c r="AD111" s="12">
        <f t="shared" si="98"/>
        <v>0</v>
      </c>
      <c r="AE111" s="9">
        <f t="shared" si="99"/>
        <v>0</v>
      </c>
      <c r="AF111" s="9">
        <f t="shared" si="100"/>
        <v>0</v>
      </c>
      <c r="AG111" s="9">
        <f t="shared" si="101"/>
        <v>0</v>
      </c>
      <c r="AH111" s="9">
        <f t="shared" si="102"/>
        <v>0</v>
      </c>
      <c r="AI111" s="15">
        <f t="shared" si="103"/>
        <v>1</v>
      </c>
      <c r="AJ111" s="15">
        <f t="shared" si="104"/>
        <v>1</v>
      </c>
      <c r="AK111" s="15">
        <f t="shared" si="105"/>
        <v>1</v>
      </c>
      <c r="AL111" s="12">
        <f t="shared" si="106"/>
        <v>1</v>
      </c>
      <c r="AM111" s="12">
        <f t="shared" si="107"/>
        <v>1</v>
      </c>
      <c r="AN111" s="9">
        <f t="shared" si="108"/>
        <v>3</v>
      </c>
      <c r="AO111" s="9">
        <f t="shared" si="109"/>
        <v>2</v>
      </c>
      <c r="AP111" s="9">
        <f t="shared" si="110"/>
        <v>2</v>
      </c>
      <c r="AQ111" s="9">
        <f t="shared" si="111"/>
        <v>2</v>
      </c>
    </row>
    <row r="112">
      <c r="A112">
        <v>658</v>
      </c>
      <c r="B112" s="1" t="s">
        <v>223</v>
      </c>
      <c r="C112">
        <v>0</v>
      </c>
      <c r="D112">
        <v>0</v>
      </c>
      <c r="E112">
        <v>0</v>
      </c>
      <c r="F112" s="12">
        <f t="shared" si="86"/>
        <v>0</v>
      </c>
      <c r="G112" s="9">
        <f t="shared" si="83"/>
        <v>0</v>
      </c>
      <c r="H112" s="9">
        <f t="shared" si="87"/>
        <v>0</v>
      </c>
      <c r="I112" s="9">
        <f t="shared" si="88"/>
        <v>0</v>
      </c>
      <c r="J112" s="9">
        <f t="shared" si="89"/>
        <v>0</v>
      </c>
      <c r="K112">
        <v>0</v>
      </c>
      <c r="L112">
        <v>0</v>
      </c>
      <c r="M112">
        <v>0</v>
      </c>
      <c r="N112" s="12">
        <f t="shared" si="90"/>
        <v>0</v>
      </c>
      <c r="O112" s="9">
        <f t="shared" si="84"/>
        <v>0</v>
      </c>
      <c r="P112" s="9">
        <f t="shared" si="91"/>
        <v>0</v>
      </c>
      <c r="Q112" s="9">
        <f t="shared" si="92"/>
        <v>0</v>
      </c>
      <c r="R112" s="9">
        <f t="shared" si="93"/>
        <v>0</v>
      </c>
      <c r="S112">
        <v>0</v>
      </c>
      <c r="T112">
        <v>0</v>
      </c>
      <c r="U112">
        <v>0</v>
      </c>
      <c r="V112" s="12">
        <f t="shared" si="94"/>
        <v>0</v>
      </c>
      <c r="W112" s="9">
        <f t="shared" si="85"/>
        <v>0</v>
      </c>
      <c r="X112" s="9">
        <f t="shared" si="95"/>
        <v>0</v>
      </c>
      <c r="Y112" s="9">
        <f t="shared" si="96"/>
        <v>0</v>
      </c>
      <c r="Z112" s="9">
        <f t="shared" si="97"/>
        <v>0</v>
      </c>
      <c r="AA112">
        <v>0</v>
      </c>
      <c r="AB112">
        <v>0</v>
      </c>
      <c r="AC112">
        <v>0</v>
      </c>
      <c r="AD112" s="12">
        <f t="shared" si="98"/>
        <v>0</v>
      </c>
      <c r="AE112" s="9">
        <f t="shared" si="99"/>
        <v>0</v>
      </c>
      <c r="AF112" s="9">
        <f t="shared" si="100"/>
        <v>0</v>
      </c>
      <c r="AG112" s="9">
        <f t="shared" si="101"/>
        <v>0</v>
      </c>
      <c r="AH112" s="9">
        <f t="shared" si="102"/>
        <v>0</v>
      </c>
      <c r="AI112" s="15">
        <f t="shared" si="103"/>
        <v>0</v>
      </c>
      <c r="AJ112" s="15">
        <f t="shared" si="104"/>
        <v>0</v>
      </c>
      <c r="AK112" s="15">
        <f t="shared" si="105"/>
        <v>0</v>
      </c>
      <c r="AL112" s="12">
        <f t="shared" si="106"/>
        <v>0</v>
      </c>
      <c r="AM112" s="12">
        <f t="shared" si="107"/>
        <v>0</v>
      </c>
      <c r="AN112" s="9">
        <f t="shared" si="108"/>
        <v>0</v>
      </c>
      <c r="AO112" s="9">
        <f t="shared" si="109"/>
        <v>0</v>
      </c>
      <c r="AP112" s="9">
        <f t="shared" si="110"/>
        <v>0</v>
      </c>
      <c r="AQ112" s="9">
        <f t="shared" si="111"/>
        <v>0</v>
      </c>
    </row>
    <row r="113">
      <c r="A113">
        <v>667</v>
      </c>
      <c r="B113" s="1" t="s">
        <v>224</v>
      </c>
      <c r="C113">
        <v>0</v>
      </c>
      <c r="D113">
        <v>0</v>
      </c>
      <c r="E113">
        <v>0</v>
      </c>
      <c r="F113" s="12">
        <f t="shared" si="86"/>
        <v>0</v>
      </c>
      <c r="G113" s="9">
        <f t="shared" si="83"/>
        <v>0</v>
      </c>
      <c r="H113" s="9">
        <f t="shared" si="87"/>
        <v>0</v>
      </c>
      <c r="I113" s="9">
        <f t="shared" si="88"/>
        <v>0</v>
      </c>
      <c r="J113" s="9">
        <f t="shared" si="89"/>
        <v>0</v>
      </c>
      <c r="K113">
        <v>0</v>
      </c>
      <c r="L113">
        <v>0</v>
      </c>
      <c r="M113">
        <v>0</v>
      </c>
      <c r="N113" s="12">
        <f t="shared" si="90"/>
        <v>0</v>
      </c>
      <c r="O113" s="9">
        <f t="shared" si="84"/>
        <v>0</v>
      </c>
      <c r="P113" s="9">
        <f t="shared" si="91"/>
        <v>0</v>
      </c>
      <c r="Q113" s="9">
        <f t="shared" si="92"/>
        <v>0</v>
      </c>
      <c r="R113" s="9">
        <f t="shared" si="93"/>
        <v>0</v>
      </c>
      <c r="S113">
        <v>0</v>
      </c>
      <c r="T113">
        <v>1</v>
      </c>
      <c r="U113">
        <v>0</v>
      </c>
      <c r="V113" s="12">
        <f t="shared" si="94"/>
        <v>0</v>
      </c>
      <c r="W113" s="9">
        <f t="shared" si="85"/>
        <v>1</v>
      </c>
      <c r="X113" s="9">
        <f t="shared" si="95"/>
        <v>1</v>
      </c>
      <c r="Y113" s="9">
        <f t="shared" si="96"/>
        <v>0</v>
      </c>
      <c r="Z113" s="9">
        <f t="shared" si="97"/>
        <v>1</v>
      </c>
      <c r="AA113">
        <v>0</v>
      </c>
      <c r="AB113">
        <v>0</v>
      </c>
      <c r="AC113">
        <v>0</v>
      </c>
      <c r="AD113" s="12">
        <f t="shared" si="98"/>
        <v>0</v>
      </c>
      <c r="AE113" s="9">
        <f t="shared" si="99"/>
        <v>0</v>
      </c>
      <c r="AF113" s="9">
        <f t="shared" si="100"/>
        <v>0</v>
      </c>
      <c r="AG113" s="9">
        <f t="shared" si="101"/>
        <v>0</v>
      </c>
      <c r="AH113" s="9">
        <f t="shared" si="102"/>
        <v>0</v>
      </c>
      <c r="AI113" s="15">
        <f t="shared" si="103"/>
        <v>0</v>
      </c>
      <c r="AJ113" s="15">
        <f t="shared" si="104"/>
        <v>1</v>
      </c>
      <c r="AK113" s="15">
        <f t="shared" si="105"/>
        <v>0</v>
      </c>
      <c r="AL113" s="12">
        <f t="shared" si="106"/>
        <v>0</v>
      </c>
      <c r="AM113" s="12">
        <f t="shared" si="107"/>
        <v>0</v>
      </c>
      <c r="AN113" s="9">
        <f t="shared" si="108"/>
        <v>1</v>
      </c>
      <c r="AO113" s="9">
        <f t="shared" si="109"/>
        <v>1</v>
      </c>
      <c r="AP113" s="9">
        <f t="shared" si="110"/>
        <v>0</v>
      </c>
      <c r="AQ113" s="9">
        <f t="shared" si="111"/>
        <v>1</v>
      </c>
    </row>
    <row r="114">
      <c r="A114">
        <v>671</v>
      </c>
      <c r="B114" s="1" t="s">
        <v>225</v>
      </c>
      <c r="C114">
        <v>0</v>
      </c>
      <c r="D114">
        <v>0</v>
      </c>
      <c r="E114">
        <v>0</v>
      </c>
      <c r="F114" s="12">
        <f t="shared" si="86"/>
        <v>0</v>
      </c>
      <c r="G114" s="9">
        <f t="shared" si="83"/>
        <v>0</v>
      </c>
      <c r="H114" s="9">
        <f t="shared" si="87"/>
        <v>0</v>
      </c>
      <c r="I114" s="9">
        <f t="shared" si="88"/>
        <v>0</v>
      </c>
      <c r="J114" s="9">
        <f t="shared" si="89"/>
        <v>0</v>
      </c>
      <c r="K114">
        <v>0</v>
      </c>
      <c r="L114">
        <v>0</v>
      </c>
      <c r="M114">
        <v>0</v>
      </c>
      <c r="N114" s="12">
        <f t="shared" si="90"/>
        <v>0</v>
      </c>
      <c r="O114" s="9">
        <f t="shared" si="84"/>
        <v>0</v>
      </c>
      <c r="P114" s="9">
        <f t="shared" si="91"/>
        <v>0</v>
      </c>
      <c r="Q114" s="9">
        <f t="shared" si="92"/>
        <v>0</v>
      </c>
      <c r="R114" s="9">
        <f t="shared" si="93"/>
        <v>0</v>
      </c>
      <c r="S114">
        <v>0</v>
      </c>
      <c r="T114">
        <v>0</v>
      </c>
      <c r="U114">
        <v>0</v>
      </c>
      <c r="V114" s="12">
        <f t="shared" si="94"/>
        <v>0</v>
      </c>
      <c r="W114" s="9">
        <f t="shared" si="85"/>
        <v>0</v>
      </c>
      <c r="X114" s="9">
        <f t="shared" si="95"/>
        <v>0</v>
      </c>
      <c r="Y114" s="9">
        <f t="shared" si="96"/>
        <v>0</v>
      </c>
      <c r="Z114" s="9">
        <f t="shared" si="97"/>
        <v>0</v>
      </c>
      <c r="AA114">
        <v>0</v>
      </c>
      <c r="AB114">
        <v>0</v>
      </c>
      <c r="AC114">
        <v>0</v>
      </c>
      <c r="AD114" s="12">
        <f t="shared" si="98"/>
        <v>0</v>
      </c>
      <c r="AE114" s="9">
        <f t="shared" si="99"/>
        <v>0</v>
      </c>
      <c r="AF114" s="9">
        <f t="shared" si="100"/>
        <v>0</v>
      </c>
      <c r="AG114" s="9">
        <f t="shared" si="101"/>
        <v>0</v>
      </c>
      <c r="AH114" s="9">
        <f t="shared" si="102"/>
        <v>0</v>
      </c>
      <c r="AI114" s="15">
        <f t="shared" si="103"/>
        <v>0</v>
      </c>
      <c r="AJ114" s="15">
        <f t="shared" si="104"/>
        <v>0</v>
      </c>
      <c r="AK114" s="15">
        <f t="shared" si="105"/>
        <v>0</v>
      </c>
      <c r="AL114" s="12">
        <f t="shared" si="106"/>
        <v>0</v>
      </c>
      <c r="AM114" s="12">
        <f t="shared" si="107"/>
        <v>0</v>
      </c>
      <c r="AN114" s="9">
        <f t="shared" si="108"/>
        <v>0</v>
      </c>
      <c r="AO114" s="9">
        <f t="shared" si="109"/>
        <v>0</v>
      </c>
      <c r="AP114" s="9">
        <f t="shared" si="110"/>
        <v>0</v>
      </c>
      <c r="AQ114" s="9">
        <f t="shared" si="111"/>
        <v>0</v>
      </c>
    </row>
    <row r="115" ht="29.100000000000001">
      <c r="A115">
        <v>673</v>
      </c>
      <c r="B115" s="1" t="s">
        <v>226</v>
      </c>
      <c r="C115">
        <v>0</v>
      </c>
      <c r="D115">
        <v>0</v>
      </c>
      <c r="E115">
        <v>0</v>
      </c>
      <c r="F115" s="12">
        <f t="shared" si="86"/>
        <v>0</v>
      </c>
      <c r="G115" s="9">
        <f t="shared" si="83"/>
        <v>0</v>
      </c>
      <c r="H115" s="9">
        <f t="shared" si="87"/>
        <v>0</v>
      </c>
      <c r="I115" s="9">
        <f t="shared" si="88"/>
        <v>0</v>
      </c>
      <c r="J115" s="9">
        <f t="shared" si="89"/>
        <v>0</v>
      </c>
      <c r="K115">
        <v>0</v>
      </c>
      <c r="L115">
        <v>0</v>
      </c>
      <c r="M115">
        <v>0</v>
      </c>
      <c r="N115" s="12">
        <f t="shared" si="90"/>
        <v>0</v>
      </c>
      <c r="O115" s="9">
        <f t="shared" si="84"/>
        <v>0</v>
      </c>
      <c r="P115" s="9">
        <f t="shared" si="91"/>
        <v>0</v>
      </c>
      <c r="Q115" s="9">
        <f t="shared" si="92"/>
        <v>0</v>
      </c>
      <c r="R115" s="9">
        <f t="shared" si="93"/>
        <v>0</v>
      </c>
      <c r="S115">
        <v>0</v>
      </c>
      <c r="T115">
        <v>0</v>
      </c>
      <c r="U115">
        <v>0</v>
      </c>
      <c r="V115" s="12">
        <f t="shared" si="94"/>
        <v>0</v>
      </c>
      <c r="W115" s="9">
        <f t="shared" si="85"/>
        <v>0</v>
      </c>
      <c r="X115" s="9">
        <f t="shared" si="95"/>
        <v>0</v>
      </c>
      <c r="Y115" s="9">
        <f t="shared" si="96"/>
        <v>0</v>
      </c>
      <c r="Z115" s="9">
        <f t="shared" si="97"/>
        <v>0</v>
      </c>
      <c r="AA115">
        <v>0</v>
      </c>
      <c r="AB115">
        <v>0</v>
      </c>
      <c r="AC115">
        <v>0</v>
      </c>
      <c r="AD115" s="12">
        <f t="shared" si="98"/>
        <v>0</v>
      </c>
      <c r="AE115" s="9">
        <f t="shared" si="99"/>
        <v>0</v>
      </c>
      <c r="AF115" s="9">
        <f t="shared" si="100"/>
        <v>0</v>
      </c>
      <c r="AG115" s="9">
        <f t="shared" si="101"/>
        <v>0</v>
      </c>
      <c r="AH115" s="9">
        <f t="shared" si="102"/>
        <v>0</v>
      </c>
      <c r="AI115" s="15">
        <f t="shared" si="103"/>
        <v>0</v>
      </c>
      <c r="AJ115" s="15">
        <f t="shared" si="104"/>
        <v>0</v>
      </c>
      <c r="AK115" s="15">
        <f t="shared" si="105"/>
        <v>0</v>
      </c>
      <c r="AL115" s="12">
        <f t="shared" si="106"/>
        <v>0</v>
      </c>
      <c r="AM115" s="12">
        <f t="shared" si="107"/>
        <v>0</v>
      </c>
      <c r="AN115" s="9">
        <f t="shared" si="108"/>
        <v>0</v>
      </c>
      <c r="AO115" s="9">
        <f t="shared" si="109"/>
        <v>0</v>
      </c>
      <c r="AP115" s="9">
        <f t="shared" si="110"/>
        <v>0</v>
      </c>
      <c r="AQ115" s="9">
        <f t="shared" si="111"/>
        <v>0</v>
      </c>
    </row>
    <row r="116" ht="29.100000000000001">
      <c r="A116">
        <v>674</v>
      </c>
      <c r="B116" s="1" t="s">
        <v>227</v>
      </c>
      <c r="C116">
        <v>0</v>
      </c>
      <c r="D116">
        <v>0</v>
      </c>
      <c r="E116">
        <v>0</v>
      </c>
      <c r="F116" s="12">
        <f t="shared" si="86"/>
        <v>0</v>
      </c>
      <c r="G116" s="9">
        <f t="shared" si="83"/>
        <v>0</v>
      </c>
      <c r="H116" s="9">
        <f t="shared" si="87"/>
        <v>0</v>
      </c>
      <c r="I116" s="9">
        <f t="shared" si="88"/>
        <v>0</v>
      </c>
      <c r="J116" s="9">
        <f t="shared" si="89"/>
        <v>0</v>
      </c>
      <c r="K116">
        <v>0</v>
      </c>
      <c r="L116">
        <v>0</v>
      </c>
      <c r="M116">
        <v>0</v>
      </c>
      <c r="N116" s="12">
        <f t="shared" si="90"/>
        <v>0</v>
      </c>
      <c r="O116" s="9">
        <f t="shared" si="84"/>
        <v>0</v>
      </c>
      <c r="P116" s="9">
        <f t="shared" si="91"/>
        <v>0</v>
      </c>
      <c r="Q116" s="9">
        <f t="shared" si="92"/>
        <v>0</v>
      </c>
      <c r="R116" s="9">
        <f t="shared" si="93"/>
        <v>0</v>
      </c>
      <c r="S116">
        <v>0</v>
      </c>
      <c r="T116">
        <v>1</v>
      </c>
      <c r="U116">
        <v>1</v>
      </c>
      <c r="V116" s="12">
        <f t="shared" si="94"/>
        <v>1</v>
      </c>
      <c r="W116" s="9">
        <f t="shared" si="85"/>
        <v>2</v>
      </c>
      <c r="X116" s="9">
        <f t="shared" si="95"/>
        <v>1</v>
      </c>
      <c r="Y116" s="9">
        <f t="shared" si="96"/>
        <v>1</v>
      </c>
      <c r="Z116" s="9">
        <f t="shared" si="97"/>
        <v>2</v>
      </c>
      <c r="AA116">
        <v>0</v>
      </c>
      <c r="AB116">
        <v>0</v>
      </c>
      <c r="AC116">
        <v>0</v>
      </c>
      <c r="AD116" s="12">
        <f t="shared" si="98"/>
        <v>0</v>
      </c>
      <c r="AE116" s="9">
        <f t="shared" si="99"/>
        <v>0</v>
      </c>
      <c r="AF116" s="9">
        <f t="shared" si="100"/>
        <v>0</v>
      </c>
      <c r="AG116" s="9">
        <f t="shared" si="101"/>
        <v>0</v>
      </c>
      <c r="AH116" s="9">
        <f t="shared" si="102"/>
        <v>0</v>
      </c>
      <c r="AI116" s="15">
        <f t="shared" si="103"/>
        <v>0</v>
      </c>
      <c r="AJ116" s="15">
        <f t="shared" si="104"/>
        <v>1</v>
      </c>
      <c r="AK116" s="15">
        <f t="shared" si="105"/>
        <v>1</v>
      </c>
      <c r="AL116" s="12">
        <f t="shared" si="106"/>
        <v>1</v>
      </c>
      <c r="AM116" s="12">
        <f t="shared" si="107"/>
        <v>1</v>
      </c>
      <c r="AN116" s="9">
        <f t="shared" si="108"/>
        <v>2</v>
      </c>
      <c r="AO116" s="9">
        <f t="shared" si="109"/>
        <v>1</v>
      </c>
      <c r="AP116" s="9">
        <f t="shared" si="110"/>
        <v>1</v>
      </c>
      <c r="AQ116" s="9">
        <f t="shared" si="111"/>
        <v>2</v>
      </c>
    </row>
    <row r="117">
      <c r="A117">
        <v>675</v>
      </c>
      <c r="B117" s="1" t="s">
        <v>229</v>
      </c>
      <c r="C117">
        <v>0</v>
      </c>
      <c r="D117">
        <v>0</v>
      </c>
      <c r="E117">
        <v>0</v>
      </c>
      <c r="F117" s="12">
        <f t="shared" si="86"/>
        <v>0</v>
      </c>
      <c r="G117" s="9">
        <f t="shared" si="83"/>
        <v>0</v>
      </c>
      <c r="H117" s="9">
        <f t="shared" si="87"/>
        <v>0</v>
      </c>
      <c r="I117" s="9">
        <f t="shared" si="88"/>
        <v>0</v>
      </c>
      <c r="J117" s="9">
        <f t="shared" si="89"/>
        <v>0</v>
      </c>
      <c r="K117">
        <v>0</v>
      </c>
      <c r="L117">
        <v>0</v>
      </c>
      <c r="M117">
        <v>0</v>
      </c>
      <c r="N117" s="12">
        <f t="shared" si="90"/>
        <v>0</v>
      </c>
      <c r="O117" s="9">
        <f t="shared" si="84"/>
        <v>0</v>
      </c>
      <c r="P117" s="9">
        <f t="shared" si="91"/>
        <v>0</v>
      </c>
      <c r="Q117" s="9">
        <f t="shared" si="92"/>
        <v>0</v>
      </c>
      <c r="R117" s="9">
        <f t="shared" si="93"/>
        <v>0</v>
      </c>
      <c r="S117">
        <v>0</v>
      </c>
      <c r="T117">
        <v>0</v>
      </c>
      <c r="U117">
        <v>0</v>
      </c>
      <c r="V117" s="12">
        <f t="shared" si="94"/>
        <v>0</v>
      </c>
      <c r="W117" s="9">
        <f t="shared" si="85"/>
        <v>0</v>
      </c>
      <c r="X117" s="9">
        <f t="shared" si="95"/>
        <v>0</v>
      </c>
      <c r="Y117" s="9">
        <f t="shared" si="96"/>
        <v>0</v>
      </c>
      <c r="Z117" s="9">
        <f t="shared" si="97"/>
        <v>0</v>
      </c>
      <c r="AA117">
        <v>0</v>
      </c>
      <c r="AB117">
        <v>0</v>
      </c>
      <c r="AC117">
        <v>0</v>
      </c>
      <c r="AD117" s="12">
        <f t="shared" si="98"/>
        <v>0</v>
      </c>
      <c r="AE117" s="9">
        <f t="shared" si="99"/>
        <v>0</v>
      </c>
      <c r="AF117" s="9">
        <f t="shared" si="100"/>
        <v>0</v>
      </c>
      <c r="AG117" s="9">
        <f t="shared" si="101"/>
        <v>0</v>
      </c>
      <c r="AH117" s="9">
        <f t="shared" si="102"/>
        <v>0</v>
      </c>
      <c r="AI117" s="15">
        <f t="shared" si="103"/>
        <v>0</v>
      </c>
      <c r="AJ117" s="15">
        <f t="shared" si="104"/>
        <v>0</v>
      </c>
      <c r="AK117" s="15">
        <f t="shared" si="105"/>
        <v>0</v>
      </c>
      <c r="AL117" s="12">
        <f t="shared" si="106"/>
        <v>0</v>
      </c>
      <c r="AM117" s="12">
        <f t="shared" si="107"/>
        <v>0</v>
      </c>
      <c r="AN117" s="9">
        <f t="shared" si="108"/>
        <v>0</v>
      </c>
      <c r="AO117" s="9">
        <f t="shared" si="109"/>
        <v>0</v>
      </c>
      <c r="AP117" s="9">
        <f t="shared" si="110"/>
        <v>0</v>
      </c>
      <c r="AQ117" s="9">
        <f t="shared" si="111"/>
        <v>0</v>
      </c>
    </row>
    <row r="118">
      <c r="A118">
        <v>676</v>
      </c>
      <c r="B118" s="1" t="s">
        <v>231</v>
      </c>
      <c r="C118">
        <v>0</v>
      </c>
      <c r="D118">
        <v>1</v>
      </c>
      <c r="E118">
        <v>1</v>
      </c>
      <c r="F118" s="12">
        <f t="shared" si="86"/>
        <v>1</v>
      </c>
      <c r="G118" s="9">
        <f t="shared" si="83"/>
        <v>2</v>
      </c>
      <c r="H118" s="9">
        <f t="shared" si="87"/>
        <v>1</v>
      </c>
      <c r="I118" s="9">
        <f t="shared" si="88"/>
        <v>1</v>
      </c>
      <c r="J118" s="9">
        <f t="shared" si="89"/>
        <v>2</v>
      </c>
      <c r="K118">
        <v>0</v>
      </c>
      <c r="L118">
        <v>0</v>
      </c>
      <c r="M118">
        <v>0</v>
      </c>
      <c r="N118" s="12">
        <f t="shared" si="90"/>
        <v>0</v>
      </c>
      <c r="O118" s="9">
        <f t="shared" si="84"/>
        <v>0</v>
      </c>
      <c r="P118" s="9">
        <f t="shared" si="91"/>
        <v>0</v>
      </c>
      <c r="Q118" s="9">
        <f t="shared" si="92"/>
        <v>0</v>
      </c>
      <c r="R118" s="9">
        <f t="shared" si="93"/>
        <v>0</v>
      </c>
      <c r="S118">
        <v>1</v>
      </c>
      <c r="T118">
        <v>0</v>
      </c>
      <c r="U118">
        <v>1</v>
      </c>
      <c r="V118" s="12">
        <f t="shared" si="94"/>
        <v>1</v>
      </c>
      <c r="W118" s="9">
        <f t="shared" si="85"/>
        <v>2</v>
      </c>
      <c r="X118" s="9">
        <f t="shared" si="95"/>
        <v>1</v>
      </c>
      <c r="Y118" s="9">
        <f t="shared" si="96"/>
        <v>2</v>
      </c>
      <c r="Z118" s="9">
        <f t="shared" si="97"/>
        <v>1</v>
      </c>
      <c r="AA118">
        <v>0</v>
      </c>
      <c r="AB118">
        <v>0</v>
      </c>
      <c r="AC118">
        <v>0</v>
      </c>
      <c r="AD118" s="12">
        <f t="shared" si="98"/>
        <v>0</v>
      </c>
      <c r="AE118" s="9">
        <f t="shared" si="99"/>
        <v>0</v>
      </c>
      <c r="AF118" s="9">
        <f t="shared" si="100"/>
        <v>0</v>
      </c>
      <c r="AG118" s="9">
        <f t="shared" si="101"/>
        <v>0</v>
      </c>
      <c r="AH118" s="9">
        <f t="shared" si="102"/>
        <v>0</v>
      </c>
      <c r="AI118" s="15">
        <f t="shared" si="103"/>
        <v>1</v>
      </c>
      <c r="AJ118" s="15">
        <f t="shared" si="104"/>
        <v>1</v>
      </c>
      <c r="AK118" s="15">
        <f t="shared" si="105"/>
        <v>1</v>
      </c>
      <c r="AL118" s="12">
        <f t="shared" si="106"/>
        <v>1</v>
      </c>
      <c r="AM118" s="12">
        <f t="shared" si="107"/>
        <v>1</v>
      </c>
      <c r="AN118" s="9">
        <f t="shared" si="108"/>
        <v>3</v>
      </c>
      <c r="AO118" s="9">
        <f t="shared" si="109"/>
        <v>2</v>
      </c>
      <c r="AP118" s="9">
        <f t="shared" si="110"/>
        <v>2</v>
      </c>
      <c r="AQ118" s="9">
        <f t="shared" si="111"/>
        <v>2</v>
      </c>
    </row>
    <row r="119">
      <c r="A119">
        <v>679</v>
      </c>
      <c r="B119" s="1" t="s">
        <v>234</v>
      </c>
      <c r="C119">
        <v>1</v>
      </c>
      <c r="D119">
        <v>1</v>
      </c>
      <c r="E119">
        <v>1</v>
      </c>
      <c r="F119" s="12">
        <f t="shared" si="86"/>
        <v>1</v>
      </c>
      <c r="G119" s="9">
        <f t="shared" si="83"/>
        <v>3</v>
      </c>
      <c r="H119" s="9">
        <f t="shared" si="87"/>
        <v>2</v>
      </c>
      <c r="I119" s="9">
        <f t="shared" si="88"/>
        <v>2</v>
      </c>
      <c r="J119" s="9">
        <f t="shared" si="89"/>
        <v>2</v>
      </c>
      <c r="K119">
        <v>0</v>
      </c>
      <c r="L119">
        <v>0</v>
      </c>
      <c r="M119">
        <v>0</v>
      </c>
      <c r="N119" s="12">
        <f t="shared" si="90"/>
        <v>0</v>
      </c>
      <c r="O119" s="9">
        <f t="shared" si="84"/>
        <v>0</v>
      </c>
      <c r="P119" s="9">
        <f t="shared" si="91"/>
        <v>0</v>
      </c>
      <c r="Q119" s="9">
        <f t="shared" si="92"/>
        <v>0</v>
      </c>
      <c r="R119" s="9">
        <f t="shared" si="93"/>
        <v>0</v>
      </c>
      <c r="S119">
        <v>0</v>
      </c>
      <c r="T119">
        <v>0</v>
      </c>
      <c r="U119">
        <v>0</v>
      </c>
      <c r="V119" s="12">
        <f t="shared" si="94"/>
        <v>0</v>
      </c>
      <c r="W119" s="9">
        <f t="shared" si="85"/>
        <v>0</v>
      </c>
      <c r="X119" s="9">
        <f t="shared" si="95"/>
        <v>0</v>
      </c>
      <c r="Y119" s="9">
        <f t="shared" si="96"/>
        <v>0</v>
      </c>
      <c r="Z119" s="9">
        <f t="shared" si="97"/>
        <v>0</v>
      </c>
      <c r="AA119">
        <v>0</v>
      </c>
      <c r="AB119">
        <v>0</v>
      </c>
      <c r="AC119">
        <v>0</v>
      </c>
      <c r="AD119" s="12">
        <f t="shared" si="98"/>
        <v>0</v>
      </c>
      <c r="AE119" s="9">
        <f t="shared" si="99"/>
        <v>0</v>
      </c>
      <c r="AF119" s="9">
        <f t="shared" si="100"/>
        <v>0</v>
      </c>
      <c r="AG119" s="9">
        <f t="shared" si="101"/>
        <v>0</v>
      </c>
      <c r="AH119" s="9">
        <f t="shared" si="102"/>
        <v>0</v>
      </c>
      <c r="AI119" s="15">
        <f t="shared" si="103"/>
        <v>1</v>
      </c>
      <c r="AJ119" s="15">
        <f t="shared" si="104"/>
        <v>1</v>
      </c>
      <c r="AK119" s="15">
        <f t="shared" si="105"/>
        <v>1</v>
      </c>
      <c r="AL119" s="12">
        <f t="shared" si="106"/>
        <v>1</v>
      </c>
      <c r="AM119" s="12">
        <f t="shared" si="107"/>
        <v>1</v>
      </c>
      <c r="AN119" s="9">
        <f t="shared" si="108"/>
        <v>3</v>
      </c>
      <c r="AO119" s="9">
        <f t="shared" si="109"/>
        <v>2</v>
      </c>
      <c r="AP119" s="9">
        <f t="shared" si="110"/>
        <v>2</v>
      </c>
      <c r="AQ119" s="9">
        <f t="shared" si="111"/>
        <v>2</v>
      </c>
    </row>
    <row r="120" ht="29.100000000000001">
      <c r="A120">
        <v>694</v>
      </c>
      <c r="B120" s="1" t="s">
        <v>237</v>
      </c>
      <c r="C120">
        <v>0</v>
      </c>
      <c r="D120">
        <v>0</v>
      </c>
      <c r="E120">
        <v>0</v>
      </c>
      <c r="F120" s="12">
        <f t="shared" si="86"/>
        <v>0</v>
      </c>
      <c r="G120" s="9">
        <f t="shared" si="83"/>
        <v>0</v>
      </c>
      <c r="H120" s="9">
        <f t="shared" si="87"/>
        <v>0</v>
      </c>
      <c r="I120" s="9">
        <f t="shared" si="88"/>
        <v>0</v>
      </c>
      <c r="J120" s="9">
        <f t="shared" si="89"/>
        <v>0</v>
      </c>
      <c r="K120">
        <v>0</v>
      </c>
      <c r="L120">
        <v>0</v>
      </c>
      <c r="M120">
        <v>0</v>
      </c>
      <c r="N120" s="12">
        <f t="shared" si="90"/>
        <v>0</v>
      </c>
      <c r="O120" s="9">
        <f t="shared" si="84"/>
        <v>0</v>
      </c>
      <c r="P120" s="9">
        <f t="shared" si="91"/>
        <v>0</v>
      </c>
      <c r="Q120" s="9">
        <f t="shared" si="92"/>
        <v>0</v>
      </c>
      <c r="R120" s="9">
        <f t="shared" si="93"/>
        <v>0</v>
      </c>
      <c r="S120">
        <v>0</v>
      </c>
      <c r="T120">
        <v>0</v>
      </c>
      <c r="U120">
        <v>0</v>
      </c>
      <c r="V120" s="12">
        <f t="shared" si="94"/>
        <v>0</v>
      </c>
      <c r="W120" s="9">
        <f t="shared" si="85"/>
        <v>0</v>
      </c>
      <c r="X120" s="9">
        <f t="shared" si="95"/>
        <v>0</v>
      </c>
      <c r="Y120" s="9">
        <f t="shared" si="96"/>
        <v>0</v>
      </c>
      <c r="Z120" s="9">
        <f t="shared" si="97"/>
        <v>0</v>
      </c>
      <c r="AA120">
        <v>1</v>
      </c>
      <c r="AB120">
        <v>1</v>
      </c>
      <c r="AC120">
        <v>1</v>
      </c>
      <c r="AD120" s="12">
        <f t="shared" si="98"/>
        <v>1</v>
      </c>
      <c r="AE120" s="9">
        <f t="shared" si="99"/>
        <v>3</v>
      </c>
      <c r="AF120" s="9">
        <f t="shared" si="100"/>
        <v>2</v>
      </c>
      <c r="AG120" s="9">
        <f t="shared" si="101"/>
        <v>2</v>
      </c>
      <c r="AH120" s="9">
        <f t="shared" si="102"/>
        <v>2</v>
      </c>
      <c r="AI120" s="15">
        <f t="shared" si="103"/>
        <v>1</v>
      </c>
      <c r="AJ120" s="15">
        <f t="shared" si="104"/>
        <v>1</v>
      </c>
      <c r="AK120" s="15">
        <f t="shared" si="105"/>
        <v>1</v>
      </c>
      <c r="AL120" s="12">
        <f t="shared" si="106"/>
        <v>1</v>
      </c>
      <c r="AM120" s="12">
        <f t="shared" si="107"/>
        <v>1</v>
      </c>
      <c r="AN120" s="9">
        <f t="shared" si="108"/>
        <v>3</v>
      </c>
      <c r="AO120" s="9">
        <f t="shared" si="109"/>
        <v>2</v>
      </c>
      <c r="AP120" s="9">
        <f t="shared" si="110"/>
        <v>2</v>
      </c>
      <c r="AQ120" s="9">
        <f t="shared" si="111"/>
        <v>2</v>
      </c>
    </row>
    <row r="121">
      <c r="A121">
        <v>699</v>
      </c>
      <c r="B121" s="1" t="s">
        <v>240</v>
      </c>
      <c r="C121">
        <v>0</v>
      </c>
      <c r="D121">
        <v>0</v>
      </c>
      <c r="E121">
        <v>0</v>
      </c>
      <c r="F121" s="12">
        <f t="shared" si="86"/>
        <v>0</v>
      </c>
      <c r="G121" s="9">
        <f t="shared" si="83"/>
        <v>0</v>
      </c>
      <c r="H121" s="9">
        <f t="shared" si="87"/>
        <v>0</v>
      </c>
      <c r="I121" s="9">
        <f t="shared" si="88"/>
        <v>0</v>
      </c>
      <c r="J121" s="9">
        <f t="shared" si="89"/>
        <v>0</v>
      </c>
      <c r="K121">
        <v>1</v>
      </c>
      <c r="L121">
        <v>1</v>
      </c>
      <c r="M121">
        <v>0</v>
      </c>
      <c r="N121" s="12">
        <f t="shared" si="90"/>
        <v>1</v>
      </c>
      <c r="O121" s="9">
        <f t="shared" si="84"/>
        <v>2</v>
      </c>
      <c r="P121" s="9">
        <f t="shared" si="91"/>
        <v>2</v>
      </c>
      <c r="Q121" s="9">
        <f t="shared" si="92"/>
        <v>1</v>
      </c>
      <c r="R121" s="9">
        <f t="shared" si="93"/>
        <v>1</v>
      </c>
      <c r="S121">
        <v>0</v>
      </c>
      <c r="T121">
        <v>0</v>
      </c>
      <c r="U121">
        <v>0</v>
      </c>
      <c r="V121" s="12">
        <f t="shared" si="94"/>
        <v>0</v>
      </c>
      <c r="W121" s="9">
        <f t="shared" si="85"/>
        <v>0</v>
      </c>
      <c r="X121" s="9">
        <f t="shared" si="95"/>
        <v>0</v>
      </c>
      <c r="Y121" s="9">
        <f t="shared" si="96"/>
        <v>0</v>
      </c>
      <c r="Z121" s="9">
        <f t="shared" si="97"/>
        <v>0</v>
      </c>
      <c r="AA121">
        <v>0</v>
      </c>
      <c r="AB121">
        <v>0</v>
      </c>
      <c r="AC121">
        <v>1</v>
      </c>
      <c r="AD121" s="12">
        <f t="shared" si="98"/>
        <v>0</v>
      </c>
      <c r="AE121" s="9">
        <f t="shared" si="99"/>
        <v>1</v>
      </c>
      <c r="AF121" s="9">
        <f t="shared" si="100"/>
        <v>0</v>
      </c>
      <c r="AG121" s="9">
        <f t="shared" si="101"/>
        <v>1</v>
      </c>
      <c r="AH121" s="9">
        <f t="shared" si="102"/>
        <v>1</v>
      </c>
      <c r="AI121" s="15">
        <f t="shared" si="103"/>
        <v>1</v>
      </c>
      <c r="AJ121" s="15">
        <f t="shared" si="104"/>
        <v>1</v>
      </c>
      <c r="AK121" s="15">
        <f t="shared" si="105"/>
        <v>1</v>
      </c>
      <c r="AL121" s="12">
        <f t="shared" si="106"/>
        <v>1</v>
      </c>
      <c r="AM121" s="12">
        <f t="shared" si="107"/>
        <v>1</v>
      </c>
      <c r="AN121" s="9">
        <f t="shared" si="108"/>
        <v>3</v>
      </c>
      <c r="AO121" s="9">
        <f t="shared" si="109"/>
        <v>2</v>
      </c>
      <c r="AP121" s="9">
        <f t="shared" si="110"/>
        <v>2</v>
      </c>
      <c r="AQ121" s="9">
        <f t="shared" si="111"/>
        <v>2</v>
      </c>
    </row>
    <row r="122">
      <c r="A122">
        <v>703</v>
      </c>
      <c r="B122" s="1" t="s">
        <v>243</v>
      </c>
      <c r="C122">
        <v>0</v>
      </c>
      <c r="D122">
        <v>0</v>
      </c>
      <c r="E122">
        <v>0</v>
      </c>
      <c r="F122" s="12">
        <f t="shared" si="86"/>
        <v>0</v>
      </c>
      <c r="G122" s="9">
        <f t="shared" si="83"/>
        <v>0</v>
      </c>
      <c r="H122" s="9">
        <f t="shared" si="87"/>
        <v>0</v>
      </c>
      <c r="I122" s="9">
        <f t="shared" si="88"/>
        <v>0</v>
      </c>
      <c r="J122" s="9">
        <f t="shared" si="89"/>
        <v>0</v>
      </c>
      <c r="K122">
        <v>0</v>
      </c>
      <c r="L122">
        <v>0</v>
      </c>
      <c r="M122">
        <v>0</v>
      </c>
      <c r="N122" s="12">
        <f t="shared" si="90"/>
        <v>0</v>
      </c>
      <c r="O122" s="9">
        <f t="shared" si="84"/>
        <v>0</v>
      </c>
      <c r="P122" s="9">
        <f t="shared" si="91"/>
        <v>0</v>
      </c>
      <c r="Q122" s="9">
        <f t="shared" si="92"/>
        <v>0</v>
      </c>
      <c r="R122" s="9">
        <f t="shared" si="93"/>
        <v>0</v>
      </c>
      <c r="S122">
        <v>1</v>
      </c>
      <c r="T122">
        <v>1</v>
      </c>
      <c r="U122">
        <v>1</v>
      </c>
      <c r="V122" s="12">
        <f t="shared" si="94"/>
        <v>1</v>
      </c>
      <c r="W122" s="9">
        <f t="shared" si="85"/>
        <v>3</v>
      </c>
      <c r="X122" s="9">
        <f t="shared" si="95"/>
        <v>2</v>
      </c>
      <c r="Y122" s="9">
        <f t="shared" si="96"/>
        <v>2</v>
      </c>
      <c r="Z122" s="9">
        <f t="shared" si="97"/>
        <v>2</v>
      </c>
      <c r="AA122">
        <v>0</v>
      </c>
      <c r="AB122">
        <v>0</v>
      </c>
      <c r="AC122">
        <v>0</v>
      </c>
      <c r="AD122" s="12">
        <f t="shared" si="98"/>
        <v>0</v>
      </c>
      <c r="AE122" s="9">
        <f t="shared" si="99"/>
        <v>0</v>
      </c>
      <c r="AF122" s="9">
        <f t="shared" si="100"/>
        <v>0</v>
      </c>
      <c r="AG122" s="9">
        <f t="shared" si="101"/>
        <v>0</v>
      </c>
      <c r="AH122" s="9">
        <f t="shared" si="102"/>
        <v>0</v>
      </c>
      <c r="AI122" s="15">
        <f t="shared" si="103"/>
        <v>1</v>
      </c>
      <c r="AJ122" s="15">
        <f t="shared" si="104"/>
        <v>1</v>
      </c>
      <c r="AK122" s="15">
        <f t="shared" si="105"/>
        <v>1</v>
      </c>
      <c r="AL122" s="12">
        <f t="shared" si="106"/>
        <v>1</v>
      </c>
      <c r="AM122" s="12">
        <f t="shared" si="107"/>
        <v>1</v>
      </c>
      <c r="AN122" s="9">
        <f t="shared" si="108"/>
        <v>3</v>
      </c>
      <c r="AO122" s="9">
        <f t="shared" si="109"/>
        <v>2</v>
      </c>
      <c r="AP122" s="9">
        <f t="shared" si="110"/>
        <v>2</v>
      </c>
      <c r="AQ122" s="9">
        <f t="shared" si="111"/>
        <v>2</v>
      </c>
    </row>
    <row r="123">
      <c r="A123">
        <v>713</v>
      </c>
      <c r="B123" s="1" t="s">
        <v>244</v>
      </c>
      <c r="C123">
        <v>0</v>
      </c>
      <c r="D123">
        <v>1</v>
      </c>
      <c r="E123">
        <v>0</v>
      </c>
      <c r="F123" s="12">
        <f t="shared" si="86"/>
        <v>0</v>
      </c>
      <c r="G123" s="9">
        <f t="shared" si="83"/>
        <v>1</v>
      </c>
      <c r="H123" s="9">
        <f t="shared" si="87"/>
        <v>1</v>
      </c>
      <c r="I123" s="9">
        <f t="shared" si="88"/>
        <v>0</v>
      </c>
      <c r="J123" s="9">
        <f t="shared" si="89"/>
        <v>1</v>
      </c>
      <c r="K123">
        <v>0</v>
      </c>
      <c r="L123">
        <v>0</v>
      </c>
      <c r="M123">
        <v>0</v>
      </c>
      <c r="N123" s="12">
        <f t="shared" si="90"/>
        <v>0</v>
      </c>
      <c r="O123" s="9">
        <f t="shared" si="84"/>
        <v>0</v>
      </c>
      <c r="P123" s="9">
        <f t="shared" si="91"/>
        <v>0</v>
      </c>
      <c r="Q123" s="9">
        <f t="shared" si="92"/>
        <v>0</v>
      </c>
      <c r="R123" s="9">
        <f t="shared" si="93"/>
        <v>0</v>
      </c>
      <c r="S123">
        <v>0</v>
      </c>
      <c r="T123">
        <v>0</v>
      </c>
      <c r="U123">
        <v>0</v>
      </c>
      <c r="V123" s="12">
        <f t="shared" si="94"/>
        <v>0</v>
      </c>
      <c r="W123" s="9">
        <f t="shared" si="85"/>
        <v>0</v>
      </c>
      <c r="X123" s="9">
        <f t="shared" si="95"/>
        <v>0</v>
      </c>
      <c r="Y123" s="9">
        <f t="shared" si="96"/>
        <v>0</v>
      </c>
      <c r="Z123" s="9">
        <f t="shared" si="97"/>
        <v>0</v>
      </c>
      <c r="AA123">
        <v>0</v>
      </c>
      <c r="AB123">
        <v>0</v>
      </c>
      <c r="AC123">
        <v>0</v>
      </c>
      <c r="AD123" s="12">
        <f t="shared" si="98"/>
        <v>0</v>
      </c>
      <c r="AE123" s="9">
        <f t="shared" si="99"/>
        <v>0</v>
      </c>
      <c r="AF123" s="9">
        <f t="shared" si="100"/>
        <v>0</v>
      </c>
      <c r="AG123" s="9">
        <f t="shared" si="101"/>
        <v>0</v>
      </c>
      <c r="AH123" s="9">
        <f t="shared" si="102"/>
        <v>0</v>
      </c>
      <c r="AI123" s="15">
        <f t="shared" si="103"/>
        <v>0</v>
      </c>
      <c r="AJ123" s="15">
        <f t="shared" si="104"/>
        <v>1</v>
      </c>
      <c r="AK123" s="15">
        <f t="shared" si="105"/>
        <v>0</v>
      </c>
      <c r="AL123" s="12">
        <f t="shared" si="106"/>
        <v>0</v>
      </c>
      <c r="AM123" s="12">
        <f t="shared" si="107"/>
        <v>0</v>
      </c>
      <c r="AN123" s="9">
        <f t="shared" si="108"/>
        <v>1</v>
      </c>
      <c r="AO123" s="9">
        <f t="shared" si="109"/>
        <v>1</v>
      </c>
      <c r="AP123" s="9">
        <f t="shared" si="110"/>
        <v>0</v>
      </c>
      <c r="AQ123" s="9">
        <f t="shared" si="111"/>
        <v>1</v>
      </c>
    </row>
    <row r="124" ht="29.100000000000001">
      <c r="A124">
        <v>717</v>
      </c>
      <c r="B124" s="1" t="s">
        <v>247</v>
      </c>
      <c r="C124">
        <v>1</v>
      </c>
      <c r="D124">
        <v>1</v>
      </c>
      <c r="E124">
        <v>1</v>
      </c>
      <c r="F124" s="12">
        <f t="shared" si="86"/>
        <v>1</v>
      </c>
      <c r="G124" s="9">
        <f t="shared" si="83"/>
        <v>3</v>
      </c>
      <c r="H124" s="9">
        <f t="shared" si="87"/>
        <v>2</v>
      </c>
      <c r="I124" s="9">
        <f t="shared" si="88"/>
        <v>2</v>
      </c>
      <c r="J124" s="9">
        <f t="shared" si="89"/>
        <v>2</v>
      </c>
      <c r="K124">
        <v>0</v>
      </c>
      <c r="L124">
        <v>1</v>
      </c>
      <c r="M124">
        <v>0</v>
      </c>
      <c r="N124" s="12">
        <f t="shared" si="90"/>
        <v>0</v>
      </c>
      <c r="O124" s="9">
        <f t="shared" si="84"/>
        <v>1</v>
      </c>
      <c r="P124" s="9">
        <f t="shared" si="91"/>
        <v>1</v>
      </c>
      <c r="Q124" s="9">
        <f t="shared" si="92"/>
        <v>0</v>
      </c>
      <c r="R124" s="9">
        <f t="shared" si="93"/>
        <v>1</v>
      </c>
      <c r="S124">
        <v>0</v>
      </c>
      <c r="T124">
        <v>0</v>
      </c>
      <c r="U124">
        <v>0</v>
      </c>
      <c r="V124" s="12">
        <f t="shared" si="94"/>
        <v>0</v>
      </c>
      <c r="W124" s="9">
        <f t="shared" si="85"/>
        <v>0</v>
      </c>
      <c r="X124" s="9">
        <f t="shared" si="95"/>
        <v>0</v>
      </c>
      <c r="Y124" s="9">
        <f t="shared" si="96"/>
        <v>0</v>
      </c>
      <c r="Z124" s="9">
        <f t="shared" si="97"/>
        <v>0</v>
      </c>
      <c r="AA124">
        <v>1</v>
      </c>
      <c r="AB124">
        <v>1</v>
      </c>
      <c r="AC124">
        <v>1</v>
      </c>
      <c r="AD124" s="12">
        <f t="shared" si="98"/>
        <v>1</v>
      </c>
      <c r="AE124" s="9">
        <f t="shared" si="99"/>
        <v>3</v>
      </c>
      <c r="AF124" s="9">
        <f t="shared" si="100"/>
        <v>2</v>
      </c>
      <c r="AG124" s="9">
        <f t="shared" si="101"/>
        <v>2</v>
      </c>
      <c r="AH124" s="9">
        <f t="shared" si="102"/>
        <v>2</v>
      </c>
      <c r="AI124" s="15">
        <f t="shared" si="103"/>
        <v>1</v>
      </c>
      <c r="AJ124" s="15">
        <f t="shared" si="104"/>
        <v>1</v>
      </c>
      <c r="AK124" s="15">
        <f t="shared" si="105"/>
        <v>1</v>
      </c>
      <c r="AL124" s="12">
        <f t="shared" si="106"/>
        <v>1</v>
      </c>
      <c r="AM124" s="12">
        <f t="shared" si="107"/>
        <v>1</v>
      </c>
      <c r="AN124" s="9">
        <f t="shared" si="108"/>
        <v>3</v>
      </c>
      <c r="AO124" s="9">
        <f t="shared" si="109"/>
        <v>2</v>
      </c>
      <c r="AP124" s="9">
        <f t="shared" si="110"/>
        <v>2</v>
      </c>
      <c r="AQ124" s="9">
        <f t="shared" si="111"/>
        <v>2</v>
      </c>
    </row>
    <row r="125" ht="29.100000000000001">
      <c r="A125">
        <v>723</v>
      </c>
      <c r="B125" s="1" t="s">
        <v>248</v>
      </c>
      <c r="C125">
        <v>0</v>
      </c>
      <c r="D125">
        <v>1</v>
      </c>
      <c r="E125">
        <v>1</v>
      </c>
      <c r="F125" s="12">
        <f t="shared" si="86"/>
        <v>1</v>
      </c>
      <c r="G125" s="9">
        <f t="shared" si="83"/>
        <v>2</v>
      </c>
      <c r="H125" s="9">
        <f t="shared" si="87"/>
        <v>1</v>
      </c>
      <c r="I125" s="9">
        <f t="shared" si="88"/>
        <v>1</v>
      </c>
      <c r="J125" s="9">
        <f t="shared" si="89"/>
        <v>2</v>
      </c>
      <c r="K125">
        <v>0</v>
      </c>
      <c r="L125">
        <v>0</v>
      </c>
      <c r="M125">
        <v>0</v>
      </c>
      <c r="N125" s="12">
        <f t="shared" si="90"/>
        <v>0</v>
      </c>
      <c r="O125" s="9">
        <f t="shared" si="84"/>
        <v>0</v>
      </c>
      <c r="P125" s="9">
        <f t="shared" si="91"/>
        <v>0</v>
      </c>
      <c r="Q125" s="9">
        <f t="shared" si="92"/>
        <v>0</v>
      </c>
      <c r="R125" s="9">
        <f t="shared" si="93"/>
        <v>0</v>
      </c>
      <c r="S125">
        <v>1</v>
      </c>
      <c r="T125">
        <v>0</v>
      </c>
      <c r="U125">
        <v>1</v>
      </c>
      <c r="V125" s="12">
        <f t="shared" si="94"/>
        <v>1</v>
      </c>
      <c r="W125" s="9">
        <f t="shared" si="85"/>
        <v>2</v>
      </c>
      <c r="X125" s="9">
        <f t="shared" si="95"/>
        <v>1</v>
      </c>
      <c r="Y125" s="9">
        <f t="shared" si="96"/>
        <v>2</v>
      </c>
      <c r="Z125" s="9">
        <f t="shared" si="97"/>
        <v>1</v>
      </c>
      <c r="AA125">
        <v>0</v>
      </c>
      <c r="AB125">
        <v>0</v>
      </c>
      <c r="AC125">
        <v>0</v>
      </c>
      <c r="AD125" s="12">
        <f t="shared" si="98"/>
        <v>0</v>
      </c>
      <c r="AE125" s="9">
        <f t="shared" si="99"/>
        <v>0</v>
      </c>
      <c r="AF125" s="9">
        <f t="shared" si="100"/>
        <v>0</v>
      </c>
      <c r="AG125" s="9">
        <f t="shared" si="101"/>
        <v>0</v>
      </c>
      <c r="AH125" s="9">
        <f t="shared" si="102"/>
        <v>0</v>
      </c>
      <c r="AI125" s="15">
        <f t="shared" si="103"/>
        <v>1</v>
      </c>
      <c r="AJ125" s="15">
        <f t="shared" si="104"/>
        <v>1</v>
      </c>
      <c r="AK125" s="15">
        <f t="shared" si="105"/>
        <v>1</v>
      </c>
      <c r="AL125" s="12">
        <f t="shared" si="106"/>
        <v>1</v>
      </c>
      <c r="AM125" s="12">
        <f t="shared" si="107"/>
        <v>1</v>
      </c>
      <c r="AN125" s="9">
        <f t="shared" si="108"/>
        <v>3</v>
      </c>
      <c r="AO125" s="9">
        <f t="shared" si="109"/>
        <v>2</v>
      </c>
      <c r="AP125" s="9">
        <f t="shared" si="110"/>
        <v>2</v>
      </c>
      <c r="AQ125" s="9">
        <f t="shared" si="111"/>
        <v>2</v>
      </c>
    </row>
    <row r="126">
      <c r="A126">
        <v>737</v>
      </c>
      <c r="B126" s="1" t="s">
        <v>251</v>
      </c>
      <c r="C126">
        <v>0</v>
      </c>
      <c r="D126">
        <v>0</v>
      </c>
      <c r="E126">
        <v>0</v>
      </c>
      <c r="F126" s="12">
        <f t="shared" si="86"/>
        <v>0</v>
      </c>
      <c r="G126" s="9">
        <f t="shared" si="83"/>
        <v>0</v>
      </c>
      <c r="H126" s="9">
        <f t="shared" si="87"/>
        <v>0</v>
      </c>
      <c r="I126" s="9">
        <f t="shared" si="88"/>
        <v>0</v>
      </c>
      <c r="J126" s="9">
        <f t="shared" si="89"/>
        <v>0</v>
      </c>
      <c r="K126">
        <v>0</v>
      </c>
      <c r="L126">
        <v>0</v>
      </c>
      <c r="M126">
        <v>0</v>
      </c>
      <c r="N126" s="12">
        <f t="shared" si="90"/>
        <v>0</v>
      </c>
      <c r="O126" s="9">
        <f t="shared" si="84"/>
        <v>0</v>
      </c>
      <c r="P126" s="9">
        <f t="shared" si="91"/>
        <v>0</v>
      </c>
      <c r="Q126" s="9">
        <f t="shared" si="92"/>
        <v>0</v>
      </c>
      <c r="R126" s="9">
        <f t="shared" si="93"/>
        <v>0</v>
      </c>
      <c r="S126">
        <v>0</v>
      </c>
      <c r="T126">
        <v>0</v>
      </c>
      <c r="U126">
        <v>0</v>
      </c>
      <c r="V126" s="12">
        <f t="shared" si="94"/>
        <v>0</v>
      </c>
      <c r="W126" s="9">
        <f t="shared" si="85"/>
        <v>0</v>
      </c>
      <c r="X126" s="9">
        <f t="shared" si="95"/>
        <v>0</v>
      </c>
      <c r="Y126" s="9">
        <f t="shared" si="96"/>
        <v>0</v>
      </c>
      <c r="Z126" s="9">
        <f t="shared" si="97"/>
        <v>0</v>
      </c>
      <c r="AA126">
        <v>0</v>
      </c>
      <c r="AB126">
        <v>0</v>
      </c>
      <c r="AC126">
        <v>0</v>
      </c>
      <c r="AD126" s="12">
        <f t="shared" si="98"/>
        <v>0</v>
      </c>
      <c r="AE126" s="9">
        <f t="shared" si="99"/>
        <v>0</v>
      </c>
      <c r="AF126" s="9">
        <f t="shared" si="100"/>
        <v>0</v>
      </c>
      <c r="AG126" s="9">
        <f t="shared" si="101"/>
        <v>0</v>
      </c>
      <c r="AH126" s="9">
        <f t="shared" si="102"/>
        <v>0</v>
      </c>
      <c r="AI126" s="15">
        <f t="shared" si="103"/>
        <v>0</v>
      </c>
      <c r="AJ126" s="15">
        <f t="shared" si="104"/>
        <v>0</v>
      </c>
      <c r="AK126" s="15">
        <f t="shared" si="105"/>
        <v>0</v>
      </c>
      <c r="AL126" s="12">
        <f t="shared" si="106"/>
        <v>0</v>
      </c>
      <c r="AM126" s="12">
        <f t="shared" si="107"/>
        <v>0</v>
      </c>
      <c r="AN126" s="9">
        <f t="shared" si="108"/>
        <v>0</v>
      </c>
      <c r="AO126" s="9">
        <f t="shared" si="109"/>
        <v>0</v>
      </c>
      <c r="AP126" s="9">
        <f t="shared" si="110"/>
        <v>0</v>
      </c>
      <c r="AQ126" s="9">
        <f t="shared" si="111"/>
        <v>0</v>
      </c>
    </row>
    <row r="127" ht="29.100000000000001">
      <c r="A127">
        <v>739</v>
      </c>
      <c r="B127" s="1" t="s">
        <v>252</v>
      </c>
      <c r="C127">
        <v>0</v>
      </c>
      <c r="D127">
        <v>0</v>
      </c>
      <c r="E127">
        <v>0</v>
      </c>
      <c r="F127" s="12">
        <f t="shared" si="86"/>
        <v>0</v>
      </c>
      <c r="G127" s="9">
        <f t="shared" si="83"/>
        <v>0</v>
      </c>
      <c r="H127" s="9">
        <f t="shared" si="87"/>
        <v>0</v>
      </c>
      <c r="I127" s="9">
        <f t="shared" si="88"/>
        <v>0</v>
      </c>
      <c r="J127" s="9">
        <f t="shared" si="89"/>
        <v>0</v>
      </c>
      <c r="K127">
        <v>0</v>
      </c>
      <c r="L127">
        <v>0</v>
      </c>
      <c r="M127">
        <v>0</v>
      </c>
      <c r="N127" s="12">
        <f t="shared" si="90"/>
        <v>0</v>
      </c>
      <c r="O127" s="9">
        <f t="shared" si="84"/>
        <v>0</v>
      </c>
      <c r="P127" s="9">
        <f t="shared" si="91"/>
        <v>0</v>
      </c>
      <c r="Q127" s="9">
        <f t="shared" si="92"/>
        <v>0</v>
      </c>
      <c r="R127" s="9">
        <f t="shared" si="93"/>
        <v>0</v>
      </c>
      <c r="S127">
        <v>1</v>
      </c>
      <c r="T127">
        <v>0</v>
      </c>
      <c r="U127">
        <v>1</v>
      </c>
      <c r="V127" s="12">
        <f t="shared" si="94"/>
        <v>1</v>
      </c>
      <c r="W127" s="9">
        <f t="shared" si="85"/>
        <v>2</v>
      </c>
      <c r="X127" s="9">
        <f t="shared" si="95"/>
        <v>1</v>
      </c>
      <c r="Y127" s="9">
        <f t="shared" si="96"/>
        <v>2</v>
      </c>
      <c r="Z127" s="9">
        <f t="shared" si="97"/>
        <v>1</v>
      </c>
      <c r="AA127">
        <v>0</v>
      </c>
      <c r="AB127">
        <v>1</v>
      </c>
      <c r="AC127">
        <v>0</v>
      </c>
      <c r="AD127" s="12">
        <f t="shared" si="98"/>
        <v>0</v>
      </c>
      <c r="AE127" s="9">
        <f t="shared" si="99"/>
        <v>1</v>
      </c>
      <c r="AF127" s="9">
        <f t="shared" si="100"/>
        <v>1</v>
      </c>
      <c r="AG127" s="9">
        <f t="shared" si="101"/>
        <v>0</v>
      </c>
      <c r="AH127" s="9">
        <f t="shared" si="102"/>
        <v>1</v>
      </c>
      <c r="AI127" s="15">
        <f t="shared" si="103"/>
        <v>1</v>
      </c>
      <c r="AJ127" s="15">
        <f t="shared" si="104"/>
        <v>1</v>
      </c>
      <c r="AK127" s="15">
        <f t="shared" si="105"/>
        <v>1</v>
      </c>
      <c r="AL127" s="12">
        <f t="shared" si="106"/>
        <v>1</v>
      </c>
      <c r="AM127" s="12">
        <f t="shared" si="107"/>
        <v>1</v>
      </c>
      <c r="AN127" s="9">
        <f t="shared" si="108"/>
        <v>3</v>
      </c>
      <c r="AO127" s="9">
        <f t="shared" si="109"/>
        <v>2</v>
      </c>
      <c r="AP127" s="9">
        <f t="shared" si="110"/>
        <v>2</v>
      </c>
      <c r="AQ127" s="9">
        <f t="shared" si="111"/>
        <v>2</v>
      </c>
    </row>
    <row r="128">
      <c r="A128">
        <v>744</v>
      </c>
      <c r="B128" s="1" t="s">
        <v>255</v>
      </c>
      <c r="C128">
        <v>0</v>
      </c>
      <c r="D128">
        <v>0</v>
      </c>
      <c r="E128">
        <v>0</v>
      </c>
      <c r="F128" s="12">
        <f t="shared" si="86"/>
        <v>0</v>
      </c>
      <c r="G128" s="9">
        <f t="shared" si="83"/>
        <v>0</v>
      </c>
      <c r="H128" s="9">
        <f t="shared" si="87"/>
        <v>0</v>
      </c>
      <c r="I128" s="9">
        <f t="shared" si="88"/>
        <v>0</v>
      </c>
      <c r="J128" s="9">
        <f t="shared" si="89"/>
        <v>0</v>
      </c>
      <c r="K128">
        <v>0</v>
      </c>
      <c r="L128">
        <v>0</v>
      </c>
      <c r="M128">
        <v>0</v>
      </c>
      <c r="N128" s="12">
        <f t="shared" si="90"/>
        <v>0</v>
      </c>
      <c r="O128" s="9">
        <f t="shared" si="84"/>
        <v>0</v>
      </c>
      <c r="P128" s="9">
        <f t="shared" si="91"/>
        <v>0</v>
      </c>
      <c r="Q128" s="9">
        <f t="shared" si="92"/>
        <v>0</v>
      </c>
      <c r="R128" s="9">
        <f t="shared" si="93"/>
        <v>0</v>
      </c>
      <c r="S128">
        <v>0</v>
      </c>
      <c r="T128">
        <v>0</v>
      </c>
      <c r="U128">
        <v>1</v>
      </c>
      <c r="V128" s="12">
        <f t="shared" si="94"/>
        <v>0</v>
      </c>
      <c r="W128" s="9">
        <f t="shared" si="85"/>
        <v>1</v>
      </c>
      <c r="X128" s="9">
        <f t="shared" si="95"/>
        <v>0</v>
      </c>
      <c r="Y128" s="9">
        <f t="shared" si="96"/>
        <v>1</v>
      </c>
      <c r="Z128" s="9">
        <f t="shared" si="97"/>
        <v>1</v>
      </c>
      <c r="AA128">
        <v>1</v>
      </c>
      <c r="AB128">
        <v>1</v>
      </c>
      <c r="AC128">
        <v>0</v>
      </c>
      <c r="AD128" s="12">
        <f t="shared" si="98"/>
        <v>1</v>
      </c>
      <c r="AE128" s="9">
        <f t="shared" si="99"/>
        <v>2</v>
      </c>
      <c r="AF128" s="9">
        <f t="shared" si="100"/>
        <v>2</v>
      </c>
      <c r="AG128" s="9">
        <f t="shared" si="101"/>
        <v>1</v>
      </c>
      <c r="AH128" s="9">
        <f t="shared" si="102"/>
        <v>1</v>
      </c>
      <c r="AI128" s="15">
        <f t="shared" si="103"/>
        <v>1</v>
      </c>
      <c r="AJ128" s="15">
        <f t="shared" si="104"/>
        <v>1</v>
      </c>
      <c r="AK128" s="15">
        <f t="shared" si="105"/>
        <v>1</v>
      </c>
      <c r="AL128" s="12">
        <f t="shared" si="106"/>
        <v>1</v>
      </c>
      <c r="AM128" s="12">
        <f t="shared" si="107"/>
        <v>1</v>
      </c>
      <c r="AN128" s="9">
        <f t="shared" si="108"/>
        <v>3</v>
      </c>
      <c r="AO128" s="9">
        <f t="shared" si="109"/>
        <v>2</v>
      </c>
      <c r="AP128" s="9">
        <f t="shared" si="110"/>
        <v>2</v>
      </c>
      <c r="AQ128" s="9">
        <f t="shared" si="111"/>
        <v>2</v>
      </c>
    </row>
    <row r="129" ht="29.100000000000001">
      <c r="A129">
        <v>747</v>
      </c>
      <c r="B129" s="1" t="s">
        <v>258</v>
      </c>
      <c r="C129">
        <v>0</v>
      </c>
      <c r="D129">
        <v>0</v>
      </c>
      <c r="E129">
        <v>0</v>
      </c>
      <c r="F129" s="12">
        <f t="shared" si="86"/>
        <v>0</v>
      </c>
      <c r="G129" s="9">
        <f t="shared" si="83"/>
        <v>0</v>
      </c>
      <c r="H129" s="9">
        <f t="shared" si="87"/>
        <v>0</v>
      </c>
      <c r="I129" s="9">
        <f t="shared" si="88"/>
        <v>0</v>
      </c>
      <c r="J129" s="9">
        <f t="shared" si="89"/>
        <v>0</v>
      </c>
      <c r="K129">
        <v>0</v>
      </c>
      <c r="L129">
        <v>0</v>
      </c>
      <c r="M129">
        <v>0</v>
      </c>
      <c r="N129" s="12">
        <f t="shared" si="90"/>
        <v>0</v>
      </c>
      <c r="O129" s="9">
        <f t="shared" si="84"/>
        <v>0</v>
      </c>
      <c r="P129" s="9">
        <f t="shared" si="91"/>
        <v>0</v>
      </c>
      <c r="Q129" s="9">
        <f t="shared" si="92"/>
        <v>0</v>
      </c>
      <c r="R129" s="9">
        <f t="shared" si="93"/>
        <v>0</v>
      </c>
      <c r="S129">
        <v>1</v>
      </c>
      <c r="T129">
        <v>0</v>
      </c>
      <c r="U129">
        <v>1</v>
      </c>
      <c r="V129" s="12">
        <f t="shared" si="94"/>
        <v>1</v>
      </c>
      <c r="W129" s="9">
        <f t="shared" si="85"/>
        <v>2</v>
      </c>
      <c r="X129" s="9">
        <f t="shared" si="95"/>
        <v>1</v>
      </c>
      <c r="Y129" s="9">
        <f t="shared" si="96"/>
        <v>2</v>
      </c>
      <c r="Z129" s="9">
        <f t="shared" si="97"/>
        <v>1</v>
      </c>
      <c r="AA129">
        <v>0</v>
      </c>
      <c r="AB129">
        <v>0</v>
      </c>
      <c r="AC129">
        <v>0</v>
      </c>
      <c r="AD129" s="12">
        <f t="shared" si="98"/>
        <v>0</v>
      </c>
      <c r="AE129" s="9">
        <f t="shared" si="99"/>
        <v>0</v>
      </c>
      <c r="AF129" s="9">
        <f t="shared" si="100"/>
        <v>0</v>
      </c>
      <c r="AG129" s="9">
        <f t="shared" si="101"/>
        <v>0</v>
      </c>
      <c r="AH129" s="9">
        <f t="shared" si="102"/>
        <v>0</v>
      </c>
      <c r="AI129" s="15">
        <f t="shared" si="103"/>
        <v>1</v>
      </c>
      <c r="AJ129" s="15">
        <f t="shared" si="104"/>
        <v>0</v>
      </c>
      <c r="AK129" s="15">
        <f t="shared" si="105"/>
        <v>1</v>
      </c>
      <c r="AL129" s="12">
        <f t="shared" si="106"/>
        <v>1</v>
      </c>
      <c r="AM129" s="12">
        <f t="shared" si="107"/>
        <v>1</v>
      </c>
      <c r="AN129" s="9">
        <f t="shared" si="108"/>
        <v>2</v>
      </c>
      <c r="AO129" s="9">
        <f t="shared" si="109"/>
        <v>1</v>
      </c>
      <c r="AP129" s="9">
        <f t="shared" si="110"/>
        <v>2</v>
      </c>
      <c r="AQ129" s="9">
        <f t="shared" si="111"/>
        <v>1</v>
      </c>
    </row>
    <row r="130">
      <c r="A130">
        <v>749</v>
      </c>
      <c r="B130" s="1" t="s">
        <v>261</v>
      </c>
      <c r="C130">
        <v>0</v>
      </c>
      <c r="D130">
        <v>0</v>
      </c>
      <c r="E130">
        <v>0</v>
      </c>
      <c r="F130" s="12">
        <f t="shared" ref="F130:F193" si="112">IF(SUM(C130,D130,E130)&gt;=2,1,0)</f>
        <v>0</v>
      </c>
      <c r="G130" s="9">
        <f t="shared" si="83"/>
        <v>0</v>
      </c>
      <c r="H130" s="9">
        <f t="shared" ref="H130:H193" si="113">C130+D130</f>
        <v>0</v>
      </c>
      <c r="I130" s="9">
        <f t="shared" ref="I130:I193" si="114">C130+E130</f>
        <v>0</v>
      </c>
      <c r="J130" s="9">
        <f t="shared" ref="J130:J193" si="115">D130+E130</f>
        <v>0</v>
      </c>
      <c r="K130">
        <v>0</v>
      </c>
      <c r="L130">
        <v>0</v>
      </c>
      <c r="M130">
        <v>0</v>
      </c>
      <c r="N130" s="12">
        <f t="shared" ref="N130:N193" si="116">IF(SUM(K130,L130,M130)&gt;=2,1,0)</f>
        <v>0</v>
      </c>
      <c r="O130" s="9">
        <f t="shared" si="84"/>
        <v>0</v>
      </c>
      <c r="P130" s="9">
        <f t="shared" ref="P130:P193" si="117">K130+L130</f>
        <v>0</v>
      </c>
      <c r="Q130" s="9">
        <f t="shared" ref="Q130:Q193" si="118">K130+M130</f>
        <v>0</v>
      </c>
      <c r="R130" s="9">
        <f t="shared" ref="R130:R193" si="119">L130+M130</f>
        <v>0</v>
      </c>
      <c r="S130">
        <v>1</v>
      </c>
      <c r="T130">
        <v>0</v>
      </c>
      <c r="U130">
        <v>1</v>
      </c>
      <c r="V130" s="12">
        <f t="shared" ref="V130:V193" si="120">IF(SUM(S130,T130,U130)&gt;=2,1,0)</f>
        <v>1</v>
      </c>
      <c r="W130" s="9">
        <f t="shared" si="85"/>
        <v>2</v>
      </c>
      <c r="X130" s="9">
        <f t="shared" ref="X130:X193" si="121">S130+T130</f>
        <v>1</v>
      </c>
      <c r="Y130" s="9">
        <f t="shared" ref="Y130:Y193" si="122">S130+U130</f>
        <v>2</v>
      </c>
      <c r="Z130" s="9">
        <f t="shared" ref="Z130:Z193" si="123">T130+U130</f>
        <v>1</v>
      </c>
      <c r="AA130">
        <v>0</v>
      </c>
      <c r="AB130">
        <v>0</v>
      </c>
      <c r="AC130">
        <v>0</v>
      </c>
      <c r="AD130" s="12">
        <f t="shared" ref="AD130:AD193" si="124">IF(SUM(AA130,AB130,AC130)&gt;=2,1,0)</f>
        <v>0</v>
      </c>
      <c r="AE130" s="9">
        <f t="shared" ref="AE130:AE193" si="125">AA130+AB130+AC130</f>
        <v>0</v>
      </c>
      <c r="AF130" s="9">
        <f t="shared" ref="AF130:AF193" si="126">AA130+AB130</f>
        <v>0</v>
      </c>
      <c r="AG130" s="9">
        <f t="shared" ref="AG130:AG193" si="127">AA130+AC130</f>
        <v>0</v>
      </c>
      <c r="AH130" s="9">
        <f t="shared" ref="AH130:AH193" si="128">AB130+AC130</f>
        <v>0</v>
      </c>
      <c r="AI130" s="15">
        <f t="shared" ref="AI130:AI193" si="129">IF(SUM(C130+K130+S130+AA130)&gt;=1,1,0)</f>
        <v>1</v>
      </c>
      <c r="AJ130" s="15">
        <f t="shared" ref="AJ130:AJ193" si="130">IF(SUM(D130+L130+T130+AB130)&gt;=1,1,0)</f>
        <v>0</v>
      </c>
      <c r="AK130" s="15">
        <f t="shared" ref="AK130:AK193" si="131">IF(SUM(E130+M130+U130+AC130)&gt;=1,1,0)</f>
        <v>1</v>
      </c>
      <c r="AL130" s="12">
        <f t="shared" ref="AL130:AL193" si="132">IF(SUM(AI130,AJ130,AK130)&gt;=2,1,0)</f>
        <v>1</v>
      </c>
      <c r="AM130" s="12">
        <f t="shared" ref="AM130:AM193" si="133">IF(SUM(F130,N130,V130,AD130)&gt;=1,1,0)</f>
        <v>1</v>
      </c>
      <c r="AN130" s="9">
        <f t="shared" ref="AN130:AN193" si="134">AI130+AJ130+AK130</f>
        <v>2</v>
      </c>
      <c r="AO130" s="9">
        <f t="shared" ref="AO130:AO193" si="135">AI130+AJ130</f>
        <v>1</v>
      </c>
      <c r="AP130" s="9">
        <f t="shared" ref="AP130:AP193" si="136">AI130+AK130</f>
        <v>2</v>
      </c>
      <c r="AQ130" s="9">
        <f t="shared" ref="AQ130:AQ193" si="137">AJ130+AK130</f>
        <v>1</v>
      </c>
    </row>
    <row r="131" ht="29.100000000000001">
      <c r="A131">
        <v>750</v>
      </c>
      <c r="B131" s="1" t="s">
        <v>264</v>
      </c>
      <c r="C131">
        <v>0</v>
      </c>
      <c r="D131">
        <v>0</v>
      </c>
      <c r="E131">
        <v>0</v>
      </c>
      <c r="F131" s="12">
        <f t="shared" si="112"/>
        <v>0</v>
      </c>
      <c r="G131" s="9">
        <f t="shared" ref="G131:G194" si="138">C131+D131+E131</f>
        <v>0</v>
      </c>
      <c r="H131" s="9">
        <f t="shared" si="113"/>
        <v>0</v>
      </c>
      <c r="I131" s="9">
        <f t="shared" si="114"/>
        <v>0</v>
      </c>
      <c r="J131" s="9">
        <f t="shared" si="115"/>
        <v>0</v>
      </c>
      <c r="K131">
        <v>0</v>
      </c>
      <c r="L131">
        <v>0</v>
      </c>
      <c r="M131">
        <v>0</v>
      </c>
      <c r="N131" s="12">
        <f t="shared" si="116"/>
        <v>0</v>
      </c>
      <c r="O131" s="9">
        <f t="shared" ref="O131:O194" si="139">K131+L131+M131</f>
        <v>0</v>
      </c>
      <c r="P131" s="9">
        <f t="shared" si="117"/>
        <v>0</v>
      </c>
      <c r="Q131" s="9">
        <f t="shared" si="118"/>
        <v>0</v>
      </c>
      <c r="R131" s="9">
        <f t="shared" si="119"/>
        <v>0</v>
      </c>
      <c r="S131">
        <v>0</v>
      </c>
      <c r="T131">
        <v>0</v>
      </c>
      <c r="U131">
        <v>0</v>
      </c>
      <c r="V131" s="12">
        <f t="shared" si="120"/>
        <v>0</v>
      </c>
      <c r="W131" s="9">
        <f t="shared" ref="W131:W194" si="140">S131+T131+U131</f>
        <v>0</v>
      </c>
      <c r="X131" s="9">
        <f t="shared" si="121"/>
        <v>0</v>
      </c>
      <c r="Y131" s="9">
        <f t="shared" si="122"/>
        <v>0</v>
      </c>
      <c r="Z131" s="9">
        <f t="shared" si="123"/>
        <v>0</v>
      </c>
      <c r="AA131">
        <v>0</v>
      </c>
      <c r="AB131">
        <v>0</v>
      </c>
      <c r="AC131">
        <v>0</v>
      </c>
      <c r="AD131" s="12">
        <f t="shared" si="124"/>
        <v>0</v>
      </c>
      <c r="AE131" s="9">
        <f t="shared" si="125"/>
        <v>0</v>
      </c>
      <c r="AF131" s="9">
        <f t="shared" si="126"/>
        <v>0</v>
      </c>
      <c r="AG131" s="9">
        <f t="shared" si="127"/>
        <v>0</v>
      </c>
      <c r="AH131" s="9">
        <f t="shared" si="128"/>
        <v>0</v>
      </c>
      <c r="AI131" s="15">
        <f t="shared" si="129"/>
        <v>0</v>
      </c>
      <c r="AJ131" s="15">
        <f t="shared" si="130"/>
        <v>0</v>
      </c>
      <c r="AK131" s="15">
        <f t="shared" si="131"/>
        <v>0</v>
      </c>
      <c r="AL131" s="12">
        <f t="shared" si="132"/>
        <v>0</v>
      </c>
      <c r="AM131" s="12">
        <f t="shared" si="133"/>
        <v>0</v>
      </c>
      <c r="AN131" s="9">
        <f t="shared" si="134"/>
        <v>0</v>
      </c>
      <c r="AO131" s="9">
        <f t="shared" si="135"/>
        <v>0</v>
      </c>
      <c r="AP131" s="9">
        <f t="shared" si="136"/>
        <v>0</v>
      </c>
      <c r="AQ131" s="9">
        <f t="shared" si="137"/>
        <v>0</v>
      </c>
    </row>
    <row r="132">
      <c r="A132">
        <v>754</v>
      </c>
      <c r="B132" s="1" t="s">
        <v>265</v>
      </c>
      <c r="C132">
        <v>0</v>
      </c>
      <c r="D132">
        <v>1</v>
      </c>
      <c r="E132">
        <v>0</v>
      </c>
      <c r="F132" s="12">
        <f t="shared" si="112"/>
        <v>0</v>
      </c>
      <c r="G132" s="9">
        <f t="shared" si="138"/>
        <v>1</v>
      </c>
      <c r="H132" s="9">
        <f t="shared" si="113"/>
        <v>1</v>
      </c>
      <c r="I132" s="9">
        <f t="shared" si="114"/>
        <v>0</v>
      </c>
      <c r="J132" s="9">
        <f t="shared" si="115"/>
        <v>1</v>
      </c>
      <c r="K132">
        <v>0</v>
      </c>
      <c r="L132">
        <v>0</v>
      </c>
      <c r="M132">
        <v>0</v>
      </c>
      <c r="N132" s="12">
        <f t="shared" si="116"/>
        <v>0</v>
      </c>
      <c r="O132" s="9">
        <f t="shared" si="139"/>
        <v>0</v>
      </c>
      <c r="P132" s="9">
        <f t="shared" si="117"/>
        <v>0</v>
      </c>
      <c r="Q132" s="9">
        <f t="shared" si="118"/>
        <v>0</v>
      </c>
      <c r="R132" s="9">
        <f t="shared" si="119"/>
        <v>0</v>
      </c>
      <c r="S132">
        <v>0</v>
      </c>
      <c r="T132">
        <v>1</v>
      </c>
      <c r="U132">
        <v>0</v>
      </c>
      <c r="V132" s="12">
        <f t="shared" si="120"/>
        <v>0</v>
      </c>
      <c r="W132" s="9">
        <f t="shared" si="140"/>
        <v>1</v>
      </c>
      <c r="X132" s="9">
        <f t="shared" si="121"/>
        <v>1</v>
      </c>
      <c r="Y132" s="9">
        <f t="shared" si="122"/>
        <v>0</v>
      </c>
      <c r="Z132" s="9">
        <f t="shared" si="123"/>
        <v>1</v>
      </c>
      <c r="AA132">
        <v>0</v>
      </c>
      <c r="AB132">
        <v>0</v>
      </c>
      <c r="AC132">
        <v>0</v>
      </c>
      <c r="AD132" s="12">
        <f t="shared" si="124"/>
        <v>0</v>
      </c>
      <c r="AE132" s="9">
        <f t="shared" si="125"/>
        <v>0</v>
      </c>
      <c r="AF132" s="9">
        <f t="shared" si="126"/>
        <v>0</v>
      </c>
      <c r="AG132" s="9">
        <f t="shared" si="127"/>
        <v>0</v>
      </c>
      <c r="AH132" s="9">
        <f t="shared" si="128"/>
        <v>0</v>
      </c>
      <c r="AI132" s="15">
        <f t="shared" si="129"/>
        <v>0</v>
      </c>
      <c r="AJ132" s="15">
        <f t="shared" si="130"/>
        <v>1</v>
      </c>
      <c r="AK132" s="15">
        <f t="shared" si="131"/>
        <v>0</v>
      </c>
      <c r="AL132" s="12">
        <f t="shared" si="132"/>
        <v>0</v>
      </c>
      <c r="AM132" s="12">
        <f t="shared" si="133"/>
        <v>0</v>
      </c>
      <c r="AN132" s="9">
        <f t="shared" si="134"/>
        <v>1</v>
      </c>
      <c r="AO132" s="9">
        <f t="shared" si="135"/>
        <v>1</v>
      </c>
      <c r="AP132" s="9">
        <f t="shared" si="136"/>
        <v>0</v>
      </c>
      <c r="AQ132" s="9">
        <f t="shared" si="137"/>
        <v>1</v>
      </c>
    </row>
    <row r="133">
      <c r="A133">
        <v>757</v>
      </c>
      <c r="B133" s="1" t="s">
        <v>267</v>
      </c>
      <c r="C133">
        <v>0</v>
      </c>
      <c r="D133">
        <v>0</v>
      </c>
      <c r="E133">
        <v>0</v>
      </c>
      <c r="F133" s="12">
        <f t="shared" si="112"/>
        <v>0</v>
      </c>
      <c r="G133" s="9">
        <f t="shared" si="138"/>
        <v>0</v>
      </c>
      <c r="H133" s="9">
        <f t="shared" si="113"/>
        <v>0</v>
      </c>
      <c r="I133" s="9">
        <f t="shared" si="114"/>
        <v>0</v>
      </c>
      <c r="J133" s="9">
        <f t="shared" si="115"/>
        <v>0</v>
      </c>
      <c r="K133">
        <v>1</v>
      </c>
      <c r="L133">
        <v>0</v>
      </c>
      <c r="M133">
        <v>0</v>
      </c>
      <c r="N133" s="12">
        <f t="shared" si="116"/>
        <v>0</v>
      </c>
      <c r="O133" s="9">
        <f t="shared" si="139"/>
        <v>1</v>
      </c>
      <c r="P133" s="9">
        <f t="shared" si="117"/>
        <v>1</v>
      </c>
      <c r="Q133" s="9">
        <f t="shared" si="118"/>
        <v>1</v>
      </c>
      <c r="R133" s="9">
        <f t="shared" si="119"/>
        <v>0</v>
      </c>
      <c r="S133">
        <v>0</v>
      </c>
      <c r="T133">
        <v>1</v>
      </c>
      <c r="U133">
        <v>0</v>
      </c>
      <c r="V133" s="12">
        <f t="shared" si="120"/>
        <v>0</v>
      </c>
      <c r="W133" s="9">
        <f t="shared" si="140"/>
        <v>1</v>
      </c>
      <c r="X133" s="9">
        <f t="shared" si="121"/>
        <v>1</v>
      </c>
      <c r="Y133" s="9">
        <f t="shared" si="122"/>
        <v>0</v>
      </c>
      <c r="Z133" s="9">
        <f t="shared" si="123"/>
        <v>1</v>
      </c>
      <c r="AA133">
        <v>0</v>
      </c>
      <c r="AB133">
        <v>1</v>
      </c>
      <c r="AC133">
        <v>0</v>
      </c>
      <c r="AD133" s="12">
        <f t="shared" si="124"/>
        <v>0</v>
      </c>
      <c r="AE133" s="9">
        <f t="shared" si="125"/>
        <v>1</v>
      </c>
      <c r="AF133" s="9">
        <f t="shared" si="126"/>
        <v>1</v>
      </c>
      <c r="AG133" s="9">
        <f t="shared" si="127"/>
        <v>0</v>
      </c>
      <c r="AH133" s="9">
        <f t="shared" si="128"/>
        <v>1</v>
      </c>
      <c r="AI133" s="15">
        <f t="shared" si="129"/>
        <v>1</v>
      </c>
      <c r="AJ133" s="15">
        <f t="shared" si="130"/>
        <v>1</v>
      </c>
      <c r="AK133" s="15">
        <f t="shared" si="131"/>
        <v>0</v>
      </c>
      <c r="AL133" s="12">
        <f t="shared" si="132"/>
        <v>1</v>
      </c>
      <c r="AM133" s="12">
        <f t="shared" si="133"/>
        <v>0</v>
      </c>
      <c r="AN133" s="9">
        <f t="shared" si="134"/>
        <v>2</v>
      </c>
      <c r="AO133" s="9">
        <f t="shared" si="135"/>
        <v>2</v>
      </c>
      <c r="AP133" s="9">
        <f t="shared" si="136"/>
        <v>1</v>
      </c>
      <c r="AQ133" s="9">
        <f t="shared" si="137"/>
        <v>1</v>
      </c>
    </row>
    <row r="134">
      <c r="A134">
        <v>766</v>
      </c>
      <c r="B134" s="1" t="s">
        <v>268</v>
      </c>
      <c r="C134">
        <v>0</v>
      </c>
      <c r="D134">
        <v>0</v>
      </c>
      <c r="E134">
        <v>0</v>
      </c>
      <c r="F134" s="12">
        <f t="shared" si="112"/>
        <v>0</v>
      </c>
      <c r="G134" s="9">
        <f t="shared" si="138"/>
        <v>0</v>
      </c>
      <c r="H134" s="9">
        <f t="shared" si="113"/>
        <v>0</v>
      </c>
      <c r="I134" s="9">
        <f t="shared" si="114"/>
        <v>0</v>
      </c>
      <c r="J134" s="9">
        <f t="shared" si="115"/>
        <v>0</v>
      </c>
      <c r="K134">
        <v>0</v>
      </c>
      <c r="L134">
        <v>0</v>
      </c>
      <c r="M134">
        <v>0</v>
      </c>
      <c r="N134" s="12">
        <f t="shared" si="116"/>
        <v>0</v>
      </c>
      <c r="O134" s="9">
        <f t="shared" si="139"/>
        <v>0</v>
      </c>
      <c r="P134" s="9">
        <f t="shared" si="117"/>
        <v>0</v>
      </c>
      <c r="Q134" s="9">
        <f t="shared" si="118"/>
        <v>0</v>
      </c>
      <c r="R134" s="9">
        <f t="shared" si="119"/>
        <v>0</v>
      </c>
      <c r="S134">
        <v>0</v>
      </c>
      <c r="T134">
        <v>0</v>
      </c>
      <c r="U134">
        <v>0</v>
      </c>
      <c r="V134" s="12">
        <f t="shared" si="120"/>
        <v>0</v>
      </c>
      <c r="W134" s="9">
        <f t="shared" si="140"/>
        <v>0</v>
      </c>
      <c r="X134" s="9">
        <f t="shared" si="121"/>
        <v>0</v>
      </c>
      <c r="Y134" s="9">
        <f t="shared" si="122"/>
        <v>0</v>
      </c>
      <c r="Z134" s="9">
        <f t="shared" si="123"/>
        <v>0</v>
      </c>
      <c r="AA134">
        <v>1</v>
      </c>
      <c r="AB134">
        <v>1</v>
      </c>
      <c r="AC134">
        <v>1</v>
      </c>
      <c r="AD134" s="12">
        <f t="shared" si="124"/>
        <v>1</v>
      </c>
      <c r="AE134" s="9">
        <f t="shared" si="125"/>
        <v>3</v>
      </c>
      <c r="AF134" s="9">
        <f t="shared" si="126"/>
        <v>2</v>
      </c>
      <c r="AG134" s="9">
        <f t="shared" si="127"/>
        <v>2</v>
      </c>
      <c r="AH134" s="9">
        <f t="shared" si="128"/>
        <v>2</v>
      </c>
      <c r="AI134" s="15">
        <f t="shared" si="129"/>
        <v>1</v>
      </c>
      <c r="AJ134" s="15">
        <f t="shared" si="130"/>
        <v>1</v>
      </c>
      <c r="AK134" s="15">
        <f t="shared" si="131"/>
        <v>1</v>
      </c>
      <c r="AL134" s="12">
        <f t="shared" si="132"/>
        <v>1</v>
      </c>
      <c r="AM134" s="12">
        <f t="shared" si="133"/>
        <v>1</v>
      </c>
      <c r="AN134" s="9">
        <f t="shared" si="134"/>
        <v>3</v>
      </c>
      <c r="AO134" s="9">
        <f t="shared" si="135"/>
        <v>2</v>
      </c>
      <c r="AP134" s="9">
        <f t="shared" si="136"/>
        <v>2</v>
      </c>
      <c r="AQ134" s="9">
        <f t="shared" si="137"/>
        <v>2</v>
      </c>
    </row>
    <row r="135" ht="29.100000000000001">
      <c r="A135">
        <v>768</v>
      </c>
      <c r="B135" s="1" t="s">
        <v>269</v>
      </c>
      <c r="C135">
        <v>0</v>
      </c>
      <c r="D135">
        <v>0</v>
      </c>
      <c r="E135">
        <v>0</v>
      </c>
      <c r="F135" s="12">
        <f t="shared" si="112"/>
        <v>0</v>
      </c>
      <c r="G135" s="9">
        <f t="shared" si="138"/>
        <v>0</v>
      </c>
      <c r="H135" s="9">
        <f t="shared" si="113"/>
        <v>0</v>
      </c>
      <c r="I135" s="9">
        <f t="shared" si="114"/>
        <v>0</v>
      </c>
      <c r="J135" s="9">
        <f t="shared" si="115"/>
        <v>0</v>
      </c>
      <c r="K135">
        <v>0</v>
      </c>
      <c r="L135">
        <v>0</v>
      </c>
      <c r="M135">
        <v>0</v>
      </c>
      <c r="N135" s="12">
        <f t="shared" si="116"/>
        <v>0</v>
      </c>
      <c r="O135" s="9">
        <f t="shared" si="139"/>
        <v>0</v>
      </c>
      <c r="P135" s="9">
        <f t="shared" si="117"/>
        <v>0</v>
      </c>
      <c r="Q135" s="9">
        <f t="shared" si="118"/>
        <v>0</v>
      </c>
      <c r="R135" s="9">
        <f t="shared" si="119"/>
        <v>0</v>
      </c>
      <c r="S135">
        <v>0</v>
      </c>
      <c r="T135">
        <v>0</v>
      </c>
      <c r="U135">
        <v>0</v>
      </c>
      <c r="V135" s="12">
        <f t="shared" si="120"/>
        <v>0</v>
      </c>
      <c r="W135" s="9">
        <f t="shared" si="140"/>
        <v>0</v>
      </c>
      <c r="X135" s="9">
        <f t="shared" si="121"/>
        <v>0</v>
      </c>
      <c r="Y135" s="9">
        <f t="shared" si="122"/>
        <v>0</v>
      </c>
      <c r="Z135" s="9">
        <f t="shared" si="123"/>
        <v>0</v>
      </c>
      <c r="AA135">
        <v>0</v>
      </c>
      <c r="AB135">
        <v>0</v>
      </c>
      <c r="AC135">
        <v>0</v>
      </c>
      <c r="AD135" s="12">
        <f t="shared" si="124"/>
        <v>0</v>
      </c>
      <c r="AE135" s="9">
        <f t="shared" si="125"/>
        <v>0</v>
      </c>
      <c r="AF135" s="9">
        <f t="shared" si="126"/>
        <v>0</v>
      </c>
      <c r="AG135" s="9">
        <f t="shared" si="127"/>
        <v>0</v>
      </c>
      <c r="AH135" s="9">
        <f t="shared" si="128"/>
        <v>0</v>
      </c>
      <c r="AI135" s="15">
        <f t="shared" si="129"/>
        <v>0</v>
      </c>
      <c r="AJ135" s="15">
        <f t="shared" si="130"/>
        <v>0</v>
      </c>
      <c r="AK135" s="15">
        <f t="shared" si="131"/>
        <v>0</v>
      </c>
      <c r="AL135" s="12">
        <f t="shared" si="132"/>
        <v>0</v>
      </c>
      <c r="AM135" s="12">
        <f t="shared" si="133"/>
        <v>0</v>
      </c>
      <c r="AN135" s="9">
        <f t="shared" si="134"/>
        <v>0</v>
      </c>
      <c r="AO135" s="9">
        <f t="shared" si="135"/>
        <v>0</v>
      </c>
      <c r="AP135" s="9">
        <f t="shared" si="136"/>
        <v>0</v>
      </c>
      <c r="AQ135" s="9">
        <f t="shared" si="137"/>
        <v>0</v>
      </c>
    </row>
    <row r="136" ht="29.100000000000001">
      <c r="A136">
        <v>788</v>
      </c>
      <c r="B136" s="1" t="s">
        <v>272</v>
      </c>
      <c r="C136">
        <v>1</v>
      </c>
      <c r="D136">
        <v>1</v>
      </c>
      <c r="E136">
        <v>1</v>
      </c>
      <c r="F136" s="12">
        <f t="shared" si="112"/>
        <v>1</v>
      </c>
      <c r="G136" s="9">
        <f t="shared" si="138"/>
        <v>3</v>
      </c>
      <c r="H136" s="9">
        <f t="shared" si="113"/>
        <v>2</v>
      </c>
      <c r="I136" s="9">
        <f t="shared" si="114"/>
        <v>2</v>
      </c>
      <c r="J136" s="9">
        <f t="shared" si="115"/>
        <v>2</v>
      </c>
      <c r="K136">
        <v>0</v>
      </c>
      <c r="L136">
        <v>0</v>
      </c>
      <c r="M136">
        <v>0</v>
      </c>
      <c r="N136" s="12">
        <f t="shared" si="116"/>
        <v>0</v>
      </c>
      <c r="O136" s="9">
        <f t="shared" si="139"/>
        <v>0</v>
      </c>
      <c r="P136" s="9">
        <f t="shared" si="117"/>
        <v>0</v>
      </c>
      <c r="Q136" s="9">
        <f t="shared" si="118"/>
        <v>0</v>
      </c>
      <c r="R136" s="9">
        <f t="shared" si="119"/>
        <v>0</v>
      </c>
      <c r="S136">
        <v>0</v>
      </c>
      <c r="T136">
        <v>0</v>
      </c>
      <c r="U136">
        <v>0</v>
      </c>
      <c r="V136" s="12">
        <f t="shared" si="120"/>
        <v>0</v>
      </c>
      <c r="W136" s="9">
        <f t="shared" si="140"/>
        <v>0</v>
      </c>
      <c r="X136" s="9">
        <f t="shared" si="121"/>
        <v>0</v>
      </c>
      <c r="Y136" s="9">
        <f t="shared" si="122"/>
        <v>0</v>
      </c>
      <c r="Z136" s="9">
        <f t="shared" si="123"/>
        <v>0</v>
      </c>
      <c r="AA136">
        <v>0</v>
      </c>
      <c r="AB136">
        <v>0</v>
      </c>
      <c r="AC136">
        <v>0</v>
      </c>
      <c r="AD136" s="12">
        <f t="shared" si="124"/>
        <v>0</v>
      </c>
      <c r="AE136" s="9">
        <f t="shared" si="125"/>
        <v>0</v>
      </c>
      <c r="AF136" s="9">
        <f t="shared" si="126"/>
        <v>0</v>
      </c>
      <c r="AG136" s="9">
        <f t="shared" si="127"/>
        <v>0</v>
      </c>
      <c r="AH136" s="9">
        <f t="shared" si="128"/>
        <v>0</v>
      </c>
      <c r="AI136" s="15">
        <f t="shared" si="129"/>
        <v>1</v>
      </c>
      <c r="AJ136" s="15">
        <f t="shared" si="130"/>
        <v>1</v>
      </c>
      <c r="AK136" s="15">
        <f t="shared" si="131"/>
        <v>1</v>
      </c>
      <c r="AL136" s="12">
        <f t="shared" si="132"/>
        <v>1</v>
      </c>
      <c r="AM136" s="12">
        <f t="shared" si="133"/>
        <v>1</v>
      </c>
      <c r="AN136" s="9">
        <f t="shared" si="134"/>
        <v>3</v>
      </c>
      <c r="AO136" s="9">
        <f t="shared" si="135"/>
        <v>2</v>
      </c>
      <c r="AP136" s="9">
        <f t="shared" si="136"/>
        <v>2</v>
      </c>
      <c r="AQ136" s="9">
        <f t="shared" si="137"/>
        <v>2</v>
      </c>
    </row>
    <row r="137" ht="29.100000000000001">
      <c r="A137">
        <v>798</v>
      </c>
      <c r="B137" s="1" t="s">
        <v>275</v>
      </c>
      <c r="C137">
        <v>0</v>
      </c>
      <c r="D137">
        <v>0</v>
      </c>
      <c r="E137">
        <v>0</v>
      </c>
      <c r="F137" s="12">
        <f t="shared" si="112"/>
        <v>0</v>
      </c>
      <c r="G137" s="9">
        <f t="shared" si="138"/>
        <v>0</v>
      </c>
      <c r="H137" s="9">
        <f t="shared" si="113"/>
        <v>0</v>
      </c>
      <c r="I137" s="9">
        <f t="shared" si="114"/>
        <v>0</v>
      </c>
      <c r="J137" s="9">
        <f t="shared" si="115"/>
        <v>0</v>
      </c>
      <c r="K137">
        <v>0</v>
      </c>
      <c r="L137">
        <v>0</v>
      </c>
      <c r="M137">
        <v>0</v>
      </c>
      <c r="N137" s="12">
        <f t="shared" si="116"/>
        <v>0</v>
      </c>
      <c r="O137" s="9">
        <f t="shared" si="139"/>
        <v>0</v>
      </c>
      <c r="P137" s="9">
        <f t="shared" si="117"/>
        <v>0</v>
      </c>
      <c r="Q137" s="9">
        <f t="shared" si="118"/>
        <v>0</v>
      </c>
      <c r="R137" s="9">
        <f t="shared" si="119"/>
        <v>0</v>
      </c>
      <c r="S137">
        <v>0</v>
      </c>
      <c r="T137">
        <v>0</v>
      </c>
      <c r="U137">
        <v>0</v>
      </c>
      <c r="V137" s="12">
        <f t="shared" si="120"/>
        <v>0</v>
      </c>
      <c r="W137" s="9">
        <f t="shared" si="140"/>
        <v>0</v>
      </c>
      <c r="X137" s="9">
        <f t="shared" si="121"/>
        <v>0</v>
      </c>
      <c r="Y137" s="9">
        <f t="shared" si="122"/>
        <v>0</v>
      </c>
      <c r="Z137" s="9">
        <f t="shared" si="123"/>
        <v>0</v>
      </c>
      <c r="AA137">
        <v>0</v>
      </c>
      <c r="AB137">
        <v>0</v>
      </c>
      <c r="AC137">
        <v>0</v>
      </c>
      <c r="AD137" s="12">
        <f t="shared" si="124"/>
        <v>0</v>
      </c>
      <c r="AE137" s="9">
        <f t="shared" si="125"/>
        <v>0</v>
      </c>
      <c r="AF137" s="9">
        <f t="shared" si="126"/>
        <v>0</v>
      </c>
      <c r="AG137" s="9">
        <f t="shared" si="127"/>
        <v>0</v>
      </c>
      <c r="AH137" s="9">
        <f t="shared" si="128"/>
        <v>0</v>
      </c>
      <c r="AI137" s="15">
        <f t="shared" si="129"/>
        <v>0</v>
      </c>
      <c r="AJ137" s="15">
        <f t="shared" si="130"/>
        <v>0</v>
      </c>
      <c r="AK137" s="15">
        <f t="shared" si="131"/>
        <v>0</v>
      </c>
      <c r="AL137" s="12">
        <f t="shared" si="132"/>
        <v>0</v>
      </c>
      <c r="AM137" s="12">
        <f t="shared" si="133"/>
        <v>0</v>
      </c>
      <c r="AN137" s="9">
        <f t="shared" si="134"/>
        <v>0</v>
      </c>
      <c r="AO137" s="9">
        <f t="shared" si="135"/>
        <v>0</v>
      </c>
      <c r="AP137" s="9">
        <f t="shared" si="136"/>
        <v>0</v>
      </c>
      <c r="AQ137" s="9">
        <f t="shared" si="137"/>
        <v>0</v>
      </c>
    </row>
    <row r="138">
      <c r="A138">
        <v>799</v>
      </c>
      <c r="B138" s="1" t="s">
        <v>276</v>
      </c>
      <c r="C138">
        <v>0</v>
      </c>
      <c r="D138">
        <v>0</v>
      </c>
      <c r="E138">
        <v>0</v>
      </c>
      <c r="F138" s="12">
        <f t="shared" si="112"/>
        <v>0</v>
      </c>
      <c r="G138" s="9">
        <f t="shared" si="138"/>
        <v>0</v>
      </c>
      <c r="H138" s="9">
        <f t="shared" si="113"/>
        <v>0</v>
      </c>
      <c r="I138" s="9">
        <f t="shared" si="114"/>
        <v>0</v>
      </c>
      <c r="J138" s="9">
        <f t="shared" si="115"/>
        <v>0</v>
      </c>
      <c r="K138">
        <v>0</v>
      </c>
      <c r="L138">
        <v>0</v>
      </c>
      <c r="M138">
        <v>0</v>
      </c>
      <c r="N138" s="12">
        <f t="shared" si="116"/>
        <v>0</v>
      </c>
      <c r="O138" s="9">
        <f t="shared" si="139"/>
        <v>0</v>
      </c>
      <c r="P138" s="9">
        <f t="shared" si="117"/>
        <v>0</v>
      </c>
      <c r="Q138" s="9">
        <f t="shared" si="118"/>
        <v>0</v>
      </c>
      <c r="R138" s="9">
        <f t="shared" si="119"/>
        <v>0</v>
      </c>
      <c r="S138">
        <v>0</v>
      </c>
      <c r="T138">
        <v>0</v>
      </c>
      <c r="U138">
        <v>0</v>
      </c>
      <c r="V138" s="12">
        <f t="shared" si="120"/>
        <v>0</v>
      </c>
      <c r="W138" s="9">
        <f t="shared" si="140"/>
        <v>0</v>
      </c>
      <c r="X138" s="9">
        <f t="shared" si="121"/>
        <v>0</v>
      </c>
      <c r="Y138" s="9">
        <f t="shared" si="122"/>
        <v>0</v>
      </c>
      <c r="Z138" s="9">
        <f t="shared" si="123"/>
        <v>0</v>
      </c>
      <c r="AA138">
        <v>0</v>
      </c>
      <c r="AB138">
        <v>0</v>
      </c>
      <c r="AC138">
        <v>0</v>
      </c>
      <c r="AD138" s="12">
        <f t="shared" si="124"/>
        <v>0</v>
      </c>
      <c r="AE138" s="9">
        <f t="shared" si="125"/>
        <v>0</v>
      </c>
      <c r="AF138" s="9">
        <f t="shared" si="126"/>
        <v>0</v>
      </c>
      <c r="AG138" s="9">
        <f t="shared" si="127"/>
        <v>0</v>
      </c>
      <c r="AH138" s="9">
        <f t="shared" si="128"/>
        <v>0</v>
      </c>
      <c r="AI138" s="15">
        <f t="shared" si="129"/>
        <v>0</v>
      </c>
      <c r="AJ138" s="15">
        <f t="shared" si="130"/>
        <v>0</v>
      </c>
      <c r="AK138" s="15">
        <f t="shared" si="131"/>
        <v>0</v>
      </c>
      <c r="AL138" s="12">
        <f t="shared" si="132"/>
        <v>0</v>
      </c>
      <c r="AM138" s="12">
        <f t="shared" si="133"/>
        <v>0</v>
      </c>
      <c r="AN138" s="9">
        <f t="shared" si="134"/>
        <v>0</v>
      </c>
      <c r="AO138" s="9">
        <f t="shared" si="135"/>
        <v>0</v>
      </c>
      <c r="AP138" s="9">
        <f t="shared" si="136"/>
        <v>0</v>
      </c>
      <c r="AQ138" s="9">
        <f t="shared" si="137"/>
        <v>0</v>
      </c>
    </row>
    <row r="139">
      <c r="A139">
        <v>807</v>
      </c>
      <c r="B139" s="1" t="s">
        <v>277</v>
      </c>
      <c r="C139">
        <v>0</v>
      </c>
      <c r="D139">
        <v>0</v>
      </c>
      <c r="E139">
        <v>0</v>
      </c>
      <c r="F139" s="12">
        <f t="shared" si="112"/>
        <v>0</v>
      </c>
      <c r="G139" s="9">
        <f t="shared" si="138"/>
        <v>0</v>
      </c>
      <c r="H139" s="9">
        <f t="shared" si="113"/>
        <v>0</v>
      </c>
      <c r="I139" s="9">
        <f t="shared" si="114"/>
        <v>0</v>
      </c>
      <c r="J139" s="9">
        <f t="shared" si="115"/>
        <v>0</v>
      </c>
      <c r="K139">
        <v>1</v>
      </c>
      <c r="L139">
        <v>1</v>
      </c>
      <c r="M139">
        <v>0</v>
      </c>
      <c r="N139" s="12">
        <f t="shared" si="116"/>
        <v>1</v>
      </c>
      <c r="O139" s="9">
        <f t="shared" si="139"/>
        <v>2</v>
      </c>
      <c r="P139" s="9">
        <f t="shared" si="117"/>
        <v>2</v>
      </c>
      <c r="Q139" s="9">
        <f t="shared" si="118"/>
        <v>1</v>
      </c>
      <c r="R139" s="9">
        <f t="shared" si="119"/>
        <v>1</v>
      </c>
      <c r="S139">
        <v>0</v>
      </c>
      <c r="T139">
        <v>0</v>
      </c>
      <c r="U139">
        <v>0</v>
      </c>
      <c r="V139" s="12">
        <f t="shared" si="120"/>
        <v>0</v>
      </c>
      <c r="W139" s="9">
        <f t="shared" si="140"/>
        <v>0</v>
      </c>
      <c r="X139" s="9">
        <f t="shared" si="121"/>
        <v>0</v>
      </c>
      <c r="Y139" s="9">
        <f t="shared" si="122"/>
        <v>0</v>
      </c>
      <c r="Z139" s="9">
        <f t="shared" si="123"/>
        <v>0</v>
      </c>
      <c r="AA139">
        <v>0</v>
      </c>
      <c r="AB139">
        <v>0</v>
      </c>
      <c r="AC139">
        <v>0</v>
      </c>
      <c r="AD139" s="12">
        <f t="shared" si="124"/>
        <v>0</v>
      </c>
      <c r="AE139" s="9">
        <f t="shared" si="125"/>
        <v>0</v>
      </c>
      <c r="AF139" s="9">
        <f t="shared" si="126"/>
        <v>0</v>
      </c>
      <c r="AG139" s="9">
        <f t="shared" si="127"/>
        <v>0</v>
      </c>
      <c r="AH139" s="9">
        <f t="shared" si="128"/>
        <v>0</v>
      </c>
      <c r="AI139" s="15">
        <f t="shared" si="129"/>
        <v>1</v>
      </c>
      <c r="AJ139" s="15">
        <f t="shared" si="130"/>
        <v>1</v>
      </c>
      <c r="AK139" s="15">
        <f t="shared" si="131"/>
        <v>0</v>
      </c>
      <c r="AL139" s="12">
        <f t="shared" si="132"/>
        <v>1</v>
      </c>
      <c r="AM139" s="12">
        <f t="shared" si="133"/>
        <v>1</v>
      </c>
      <c r="AN139" s="9">
        <f t="shared" si="134"/>
        <v>2</v>
      </c>
      <c r="AO139" s="9">
        <f t="shared" si="135"/>
        <v>2</v>
      </c>
      <c r="AP139" s="9">
        <f t="shared" si="136"/>
        <v>1</v>
      </c>
      <c r="AQ139" s="9">
        <f t="shared" si="137"/>
        <v>1</v>
      </c>
    </row>
    <row r="140">
      <c r="A140">
        <v>814</v>
      </c>
      <c r="B140" s="1" t="s">
        <v>278</v>
      </c>
      <c r="C140">
        <v>1</v>
      </c>
      <c r="D140">
        <v>1</v>
      </c>
      <c r="E140">
        <v>1</v>
      </c>
      <c r="F140" s="12">
        <f t="shared" si="112"/>
        <v>1</v>
      </c>
      <c r="G140" s="9">
        <f t="shared" si="138"/>
        <v>3</v>
      </c>
      <c r="H140" s="9">
        <f t="shared" si="113"/>
        <v>2</v>
      </c>
      <c r="I140" s="9">
        <f t="shared" si="114"/>
        <v>2</v>
      </c>
      <c r="J140" s="9">
        <f t="shared" si="115"/>
        <v>2</v>
      </c>
      <c r="K140">
        <v>1</v>
      </c>
      <c r="L140">
        <v>0</v>
      </c>
      <c r="M140">
        <v>0</v>
      </c>
      <c r="N140" s="12">
        <f t="shared" si="116"/>
        <v>0</v>
      </c>
      <c r="O140" s="9">
        <f t="shared" si="139"/>
        <v>1</v>
      </c>
      <c r="P140" s="9">
        <f t="shared" si="117"/>
        <v>1</v>
      </c>
      <c r="Q140" s="9">
        <f t="shared" si="118"/>
        <v>1</v>
      </c>
      <c r="R140" s="9">
        <f t="shared" si="119"/>
        <v>0</v>
      </c>
      <c r="S140">
        <v>0</v>
      </c>
      <c r="T140">
        <v>0</v>
      </c>
      <c r="U140">
        <v>0</v>
      </c>
      <c r="V140" s="12">
        <f t="shared" si="120"/>
        <v>0</v>
      </c>
      <c r="W140" s="9">
        <f t="shared" si="140"/>
        <v>0</v>
      </c>
      <c r="X140" s="9">
        <f t="shared" si="121"/>
        <v>0</v>
      </c>
      <c r="Y140" s="9">
        <f t="shared" si="122"/>
        <v>0</v>
      </c>
      <c r="Z140" s="9">
        <f t="shared" si="123"/>
        <v>0</v>
      </c>
      <c r="AA140">
        <v>0</v>
      </c>
      <c r="AB140">
        <v>0</v>
      </c>
      <c r="AC140">
        <v>0</v>
      </c>
      <c r="AD140" s="12">
        <f t="shared" si="124"/>
        <v>0</v>
      </c>
      <c r="AE140" s="9">
        <f t="shared" si="125"/>
        <v>0</v>
      </c>
      <c r="AF140" s="9">
        <f t="shared" si="126"/>
        <v>0</v>
      </c>
      <c r="AG140" s="9">
        <f t="shared" si="127"/>
        <v>0</v>
      </c>
      <c r="AH140" s="9">
        <f t="shared" si="128"/>
        <v>0</v>
      </c>
      <c r="AI140" s="15">
        <f t="shared" si="129"/>
        <v>1</v>
      </c>
      <c r="AJ140" s="15">
        <f t="shared" si="130"/>
        <v>1</v>
      </c>
      <c r="AK140" s="15">
        <f t="shared" si="131"/>
        <v>1</v>
      </c>
      <c r="AL140" s="12">
        <f t="shared" si="132"/>
        <v>1</v>
      </c>
      <c r="AM140" s="12">
        <f t="shared" si="133"/>
        <v>1</v>
      </c>
      <c r="AN140" s="9">
        <f t="shared" si="134"/>
        <v>3</v>
      </c>
      <c r="AO140" s="9">
        <f t="shared" si="135"/>
        <v>2</v>
      </c>
      <c r="AP140" s="9">
        <f t="shared" si="136"/>
        <v>2</v>
      </c>
      <c r="AQ140" s="9">
        <f t="shared" si="137"/>
        <v>2</v>
      </c>
    </row>
    <row r="141">
      <c r="A141">
        <v>816</v>
      </c>
      <c r="B141" s="1" t="s">
        <v>280</v>
      </c>
      <c r="C141">
        <v>0</v>
      </c>
      <c r="D141">
        <v>0</v>
      </c>
      <c r="E141">
        <v>0</v>
      </c>
      <c r="F141" s="12">
        <f t="shared" si="112"/>
        <v>0</v>
      </c>
      <c r="G141" s="9">
        <f t="shared" si="138"/>
        <v>0</v>
      </c>
      <c r="H141" s="9">
        <f t="shared" si="113"/>
        <v>0</v>
      </c>
      <c r="I141" s="9">
        <f t="shared" si="114"/>
        <v>0</v>
      </c>
      <c r="J141" s="9">
        <f t="shared" si="115"/>
        <v>0</v>
      </c>
      <c r="K141">
        <v>0</v>
      </c>
      <c r="L141">
        <v>0</v>
      </c>
      <c r="M141">
        <v>0</v>
      </c>
      <c r="N141" s="12">
        <f t="shared" si="116"/>
        <v>0</v>
      </c>
      <c r="O141" s="9">
        <f t="shared" si="139"/>
        <v>0</v>
      </c>
      <c r="P141" s="9">
        <f t="shared" si="117"/>
        <v>0</v>
      </c>
      <c r="Q141" s="9">
        <f t="shared" si="118"/>
        <v>0</v>
      </c>
      <c r="R141" s="9">
        <f t="shared" si="119"/>
        <v>0</v>
      </c>
      <c r="S141">
        <v>0</v>
      </c>
      <c r="T141">
        <v>0</v>
      </c>
      <c r="U141">
        <v>0</v>
      </c>
      <c r="V141" s="12">
        <f t="shared" si="120"/>
        <v>0</v>
      </c>
      <c r="W141" s="9">
        <f t="shared" si="140"/>
        <v>0</v>
      </c>
      <c r="X141" s="9">
        <f t="shared" si="121"/>
        <v>0</v>
      </c>
      <c r="Y141" s="9">
        <f t="shared" si="122"/>
        <v>0</v>
      </c>
      <c r="Z141" s="9">
        <f t="shared" si="123"/>
        <v>0</v>
      </c>
      <c r="AA141">
        <v>1</v>
      </c>
      <c r="AB141">
        <v>1</v>
      </c>
      <c r="AC141">
        <v>1</v>
      </c>
      <c r="AD141" s="12">
        <f t="shared" si="124"/>
        <v>1</v>
      </c>
      <c r="AE141" s="9">
        <f t="shared" si="125"/>
        <v>3</v>
      </c>
      <c r="AF141" s="9">
        <f t="shared" si="126"/>
        <v>2</v>
      </c>
      <c r="AG141" s="9">
        <f t="shared" si="127"/>
        <v>2</v>
      </c>
      <c r="AH141" s="9">
        <f t="shared" si="128"/>
        <v>2</v>
      </c>
      <c r="AI141" s="15">
        <f t="shared" si="129"/>
        <v>1</v>
      </c>
      <c r="AJ141" s="15">
        <f t="shared" si="130"/>
        <v>1</v>
      </c>
      <c r="AK141" s="15">
        <f t="shared" si="131"/>
        <v>1</v>
      </c>
      <c r="AL141" s="12">
        <f t="shared" si="132"/>
        <v>1</v>
      </c>
      <c r="AM141" s="12">
        <f t="shared" si="133"/>
        <v>1</v>
      </c>
      <c r="AN141" s="9">
        <f t="shared" si="134"/>
        <v>3</v>
      </c>
      <c r="AO141" s="9">
        <f t="shared" si="135"/>
        <v>2</v>
      </c>
      <c r="AP141" s="9">
        <f t="shared" si="136"/>
        <v>2</v>
      </c>
      <c r="AQ141" s="9">
        <f t="shared" si="137"/>
        <v>2</v>
      </c>
    </row>
    <row r="142">
      <c r="A142">
        <v>827</v>
      </c>
      <c r="B142" s="1" t="s">
        <v>281</v>
      </c>
      <c r="C142">
        <v>1</v>
      </c>
      <c r="D142">
        <v>1</v>
      </c>
      <c r="E142">
        <v>0</v>
      </c>
      <c r="F142" s="12">
        <f t="shared" si="112"/>
        <v>1</v>
      </c>
      <c r="G142" s="9">
        <f t="shared" si="138"/>
        <v>2</v>
      </c>
      <c r="H142" s="9">
        <f t="shared" si="113"/>
        <v>2</v>
      </c>
      <c r="I142" s="9">
        <f t="shared" si="114"/>
        <v>1</v>
      </c>
      <c r="J142" s="9">
        <f t="shared" si="115"/>
        <v>1</v>
      </c>
      <c r="K142">
        <v>0</v>
      </c>
      <c r="L142">
        <v>0</v>
      </c>
      <c r="M142">
        <v>0</v>
      </c>
      <c r="N142" s="12">
        <f t="shared" si="116"/>
        <v>0</v>
      </c>
      <c r="O142" s="9">
        <f t="shared" si="139"/>
        <v>0</v>
      </c>
      <c r="P142" s="9">
        <f t="shared" si="117"/>
        <v>0</v>
      </c>
      <c r="Q142" s="9">
        <f t="shared" si="118"/>
        <v>0</v>
      </c>
      <c r="R142" s="9">
        <f t="shared" si="119"/>
        <v>0</v>
      </c>
      <c r="S142">
        <v>0</v>
      </c>
      <c r="T142">
        <v>0</v>
      </c>
      <c r="U142">
        <v>0</v>
      </c>
      <c r="V142" s="12">
        <f t="shared" si="120"/>
        <v>0</v>
      </c>
      <c r="W142" s="9">
        <f t="shared" si="140"/>
        <v>0</v>
      </c>
      <c r="X142" s="9">
        <f t="shared" si="121"/>
        <v>0</v>
      </c>
      <c r="Y142" s="9">
        <f t="shared" si="122"/>
        <v>0</v>
      </c>
      <c r="Z142" s="9">
        <f t="shared" si="123"/>
        <v>0</v>
      </c>
      <c r="AA142">
        <v>0</v>
      </c>
      <c r="AB142">
        <v>0</v>
      </c>
      <c r="AC142">
        <v>0</v>
      </c>
      <c r="AD142" s="12">
        <f t="shared" si="124"/>
        <v>0</v>
      </c>
      <c r="AE142" s="9">
        <f t="shared" si="125"/>
        <v>0</v>
      </c>
      <c r="AF142" s="9">
        <f t="shared" si="126"/>
        <v>0</v>
      </c>
      <c r="AG142" s="9">
        <f t="shared" si="127"/>
        <v>0</v>
      </c>
      <c r="AH142" s="9">
        <f t="shared" si="128"/>
        <v>0</v>
      </c>
      <c r="AI142" s="15">
        <f t="shared" si="129"/>
        <v>1</v>
      </c>
      <c r="AJ142" s="15">
        <f t="shared" si="130"/>
        <v>1</v>
      </c>
      <c r="AK142" s="15">
        <f t="shared" si="131"/>
        <v>0</v>
      </c>
      <c r="AL142" s="12">
        <f t="shared" si="132"/>
        <v>1</v>
      </c>
      <c r="AM142" s="12">
        <f t="shared" si="133"/>
        <v>1</v>
      </c>
      <c r="AN142" s="9">
        <f t="shared" si="134"/>
        <v>2</v>
      </c>
      <c r="AO142" s="9">
        <f t="shared" si="135"/>
        <v>2</v>
      </c>
      <c r="AP142" s="9">
        <f t="shared" si="136"/>
        <v>1</v>
      </c>
      <c r="AQ142" s="9">
        <f t="shared" si="137"/>
        <v>1</v>
      </c>
    </row>
    <row r="143">
      <c r="A143">
        <v>828</v>
      </c>
      <c r="B143" s="1" t="s">
        <v>285</v>
      </c>
      <c r="C143">
        <v>0</v>
      </c>
      <c r="D143">
        <v>0</v>
      </c>
      <c r="E143">
        <v>0</v>
      </c>
      <c r="F143" s="12">
        <f t="shared" si="112"/>
        <v>0</v>
      </c>
      <c r="G143" s="9">
        <f t="shared" si="138"/>
        <v>0</v>
      </c>
      <c r="H143" s="9">
        <f t="shared" si="113"/>
        <v>0</v>
      </c>
      <c r="I143" s="9">
        <f t="shared" si="114"/>
        <v>0</v>
      </c>
      <c r="J143" s="9">
        <f t="shared" si="115"/>
        <v>0</v>
      </c>
      <c r="K143">
        <v>0</v>
      </c>
      <c r="L143">
        <v>0</v>
      </c>
      <c r="M143">
        <v>0</v>
      </c>
      <c r="N143" s="12">
        <f t="shared" si="116"/>
        <v>0</v>
      </c>
      <c r="O143" s="9">
        <f t="shared" si="139"/>
        <v>0</v>
      </c>
      <c r="P143" s="9">
        <f t="shared" si="117"/>
        <v>0</v>
      </c>
      <c r="Q143" s="9">
        <f t="shared" si="118"/>
        <v>0</v>
      </c>
      <c r="R143" s="9">
        <f t="shared" si="119"/>
        <v>0</v>
      </c>
      <c r="S143">
        <v>1</v>
      </c>
      <c r="T143">
        <v>1</v>
      </c>
      <c r="U143">
        <v>1</v>
      </c>
      <c r="V143" s="12">
        <f t="shared" si="120"/>
        <v>1</v>
      </c>
      <c r="W143" s="9">
        <f t="shared" si="140"/>
        <v>3</v>
      </c>
      <c r="X143" s="9">
        <f t="shared" si="121"/>
        <v>2</v>
      </c>
      <c r="Y143" s="9">
        <f t="shared" si="122"/>
        <v>2</v>
      </c>
      <c r="Z143" s="9">
        <f t="shared" si="123"/>
        <v>2</v>
      </c>
      <c r="AA143">
        <v>0</v>
      </c>
      <c r="AB143">
        <v>0</v>
      </c>
      <c r="AC143">
        <v>0</v>
      </c>
      <c r="AD143" s="12">
        <f t="shared" si="124"/>
        <v>0</v>
      </c>
      <c r="AE143" s="9">
        <f t="shared" si="125"/>
        <v>0</v>
      </c>
      <c r="AF143" s="9">
        <f t="shared" si="126"/>
        <v>0</v>
      </c>
      <c r="AG143" s="9">
        <f t="shared" si="127"/>
        <v>0</v>
      </c>
      <c r="AH143" s="9">
        <f t="shared" si="128"/>
        <v>0</v>
      </c>
      <c r="AI143" s="15">
        <f t="shared" si="129"/>
        <v>1</v>
      </c>
      <c r="AJ143" s="15">
        <f t="shared" si="130"/>
        <v>1</v>
      </c>
      <c r="AK143" s="15">
        <f t="shared" si="131"/>
        <v>1</v>
      </c>
      <c r="AL143" s="12">
        <f t="shared" si="132"/>
        <v>1</v>
      </c>
      <c r="AM143" s="12">
        <f t="shared" si="133"/>
        <v>1</v>
      </c>
      <c r="AN143" s="9">
        <f t="shared" si="134"/>
        <v>3</v>
      </c>
      <c r="AO143" s="9">
        <f t="shared" si="135"/>
        <v>2</v>
      </c>
      <c r="AP143" s="9">
        <f t="shared" si="136"/>
        <v>2</v>
      </c>
      <c r="AQ143" s="9">
        <f t="shared" si="137"/>
        <v>2</v>
      </c>
    </row>
    <row r="144">
      <c r="A144">
        <v>830</v>
      </c>
      <c r="B144" s="1" t="s">
        <v>287</v>
      </c>
      <c r="C144">
        <v>0</v>
      </c>
      <c r="D144">
        <v>0</v>
      </c>
      <c r="E144">
        <v>0</v>
      </c>
      <c r="F144" s="12">
        <f t="shared" si="112"/>
        <v>0</v>
      </c>
      <c r="G144" s="9">
        <f t="shared" si="138"/>
        <v>0</v>
      </c>
      <c r="H144" s="9">
        <f t="shared" si="113"/>
        <v>0</v>
      </c>
      <c r="I144" s="9">
        <f t="shared" si="114"/>
        <v>0</v>
      </c>
      <c r="J144" s="9">
        <f t="shared" si="115"/>
        <v>0</v>
      </c>
      <c r="K144">
        <v>0</v>
      </c>
      <c r="L144">
        <v>0</v>
      </c>
      <c r="M144">
        <v>0</v>
      </c>
      <c r="N144" s="12">
        <f t="shared" si="116"/>
        <v>0</v>
      </c>
      <c r="O144" s="9">
        <f t="shared" si="139"/>
        <v>0</v>
      </c>
      <c r="P144" s="9">
        <f t="shared" si="117"/>
        <v>0</v>
      </c>
      <c r="Q144" s="9">
        <f t="shared" si="118"/>
        <v>0</v>
      </c>
      <c r="R144" s="9">
        <f t="shared" si="119"/>
        <v>0</v>
      </c>
      <c r="S144">
        <v>0</v>
      </c>
      <c r="T144">
        <v>0</v>
      </c>
      <c r="U144">
        <v>0</v>
      </c>
      <c r="V144" s="12">
        <f t="shared" si="120"/>
        <v>0</v>
      </c>
      <c r="W144" s="9">
        <f t="shared" si="140"/>
        <v>0</v>
      </c>
      <c r="X144" s="9">
        <f t="shared" si="121"/>
        <v>0</v>
      </c>
      <c r="Y144" s="9">
        <f t="shared" si="122"/>
        <v>0</v>
      </c>
      <c r="Z144" s="9">
        <f t="shared" si="123"/>
        <v>0</v>
      </c>
      <c r="AA144">
        <v>0</v>
      </c>
      <c r="AB144">
        <v>0</v>
      </c>
      <c r="AC144">
        <v>0</v>
      </c>
      <c r="AD144" s="12">
        <f t="shared" si="124"/>
        <v>0</v>
      </c>
      <c r="AE144" s="9">
        <f t="shared" si="125"/>
        <v>0</v>
      </c>
      <c r="AF144" s="9">
        <f t="shared" si="126"/>
        <v>0</v>
      </c>
      <c r="AG144" s="9">
        <f t="shared" si="127"/>
        <v>0</v>
      </c>
      <c r="AH144" s="9">
        <f t="shared" si="128"/>
        <v>0</v>
      </c>
      <c r="AI144" s="15">
        <f t="shared" si="129"/>
        <v>0</v>
      </c>
      <c r="AJ144" s="15">
        <f t="shared" si="130"/>
        <v>0</v>
      </c>
      <c r="AK144" s="15">
        <f t="shared" si="131"/>
        <v>0</v>
      </c>
      <c r="AL144" s="12">
        <f t="shared" si="132"/>
        <v>0</v>
      </c>
      <c r="AM144" s="12">
        <f t="shared" si="133"/>
        <v>0</v>
      </c>
      <c r="AN144" s="9">
        <f t="shared" si="134"/>
        <v>0</v>
      </c>
      <c r="AO144" s="9">
        <f t="shared" si="135"/>
        <v>0</v>
      </c>
      <c r="AP144" s="9">
        <f t="shared" si="136"/>
        <v>0</v>
      </c>
      <c r="AQ144" s="9">
        <f t="shared" si="137"/>
        <v>0</v>
      </c>
    </row>
    <row r="145">
      <c r="A145">
        <v>832</v>
      </c>
      <c r="B145" s="1" t="s">
        <v>288</v>
      </c>
      <c r="C145">
        <v>0</v>
      </c>
      <c r="D145">
        <v>1</v>
      </c>
      <c r="E145">
        <v>0</v>
      </c>
      <c r="F145" s="12">
        <f t="shared" si="112"/>
        <v>0</v>
      </c>
      <c r="G145" s="9">
        <f t="shared" si="138"/>
        <v>1</v>
      </c>
      <c r="H145" s="9">
        <f t="shared" si="113"/>
        <v>1</v>
      </c>
      <c r="I145" s="9">
        <f t="shared" si="114"/>
        <v>0</v>
      </c>
      <c r="J145" s="9">
        <f t="shared" si="115"/>
        <v>1</v>
      </c>
      <c r="K145">
        <v>1</v>
      </c>
      <c r="L145">
        <v>1</v>
      </c>
      <c r="M145">
        <v>1</v>
      </c>
      <c r="N145" s="12">
        <f t="shared" si="116"/>
        <v>1</v>
      </c>
      <c r="O145" s="9">
        <f t="shared" si="139"/>
        <v>3</v>
      </c>
      <c r="P145" s="9">
        <f t="shared" si="117"/>
        <v>2</v>
      </c>
      <c r="Q145" s="9">
        <f t="shared" si="118"/>
        <v>2</v>
      </c>
      <c r="R145" s="9">
        <f t="shared" si="119"/>
        <v>2</v>
      </c>
      <c r="S145">
        <v>0</v>
      </c>
      <c r="T145">
        <v>0</v>
      </c>
      <c r="U145">
        <v>0</v>
      </c>
      <c r="V145" s="12">
        <f t="shared" si="120"/>
        <v>0</v>
      </c>
      <c r="W145" s="9">
        <f t="shared" si="140"/>
        <v>0</v>
      </c>
      <c r="X145" s="9">
        <f t="shared" si="121"/>
        <v>0</v>
      </c>
      <c r="Y145" s="9">
        <f t="shared" si="122"/>
        <v>0</v>
      </c>
      <c r="Z145" s="9">
        <f t="shared" si="123"/>
        <v>0</v>
      </c>
      <c r="AA145">
        <v>0</v>
      </c>
      <c r="AB145">
        <v>0</v>
      </c>
      <c r="AC145">
        <v>0</v>
      </c>
      <c r="AD145" s="12">
        <f t="shared" si="124"/>
        <v>0</v>
      </c>
      <c r="AE145" s="9">
        <f t="shared" si="125"/>
        <v>0</v>
      </c>
      <c r="AF145" s="9">
        <f t="shared" si="126"/>
        <v>0</v>
      </c>
      <c r="AG145" s="9">
        <f t="shared" si="127"/>
        <v>0</v>
      </c>
      <c r="AH145" s="9">
        <f t="shared" si="128"/>
        <v>0</v>
      </c>
      <c r="AI145" s="15">
        <f t="shared" si="129"/>
        <v>1</v>
      </c>
      <c r="AJ145" s="15">
        <f t="shared" si="130"/>
        <v>1</v>
      </c>
      <c r="AK145" s="15">
        <f t="shared" si="131"/>
        <v>1</v>
      </c>
      <c r="AL145" s="12">
        <f t="shared" si="132"/>
        <v>1</v>
      </c>
      <c r="AM145" s="12">
        <f t="shared" si="133"/>
        <v>1</v>
      </c>
      <c r="AN145" s="9">
        <f t="shared" si="134"/>
        <v>3</v>
      </c>
      <c r="AO145" s="9">
        <f t="shared" si="135"/>
        <v>2</v>
      </c>
      <c r="AP145" s="9">
        <f t="shared" si="136"/>
        <v>2</v>
      </c>
      <c r="AQ145" s="9">
        <f t="shared" si="137"/>
        <v>2</v>
      </c>
    </row>
    <row r="146">
      <c r="A146">
        <v>835</v>
      </c>
      <c r="B146" s="1" t="s">
        <v>292</v>
      </c>
      <c r="C146">
        <v>0</v>
      </c>
      <c r="D146">
        <v>0</v>
      </c>
      <c r="E146">
        <v>0</v>
      </c>
      <c r="F146" s="12">
        <f t="shared" si="112"/>
        <v>0</v>
      </c>
      <c r="G146" s="9">
        <f t="shared" si="138"/>
        <v>0</v>
      </c>
      <c r="H146" s="9">
        <f t="shared" si="113"/>
        <v>0</v>
      </c>
      <c r="I146" s="9">
        <f t="shared" si="114"/>
        <v>0</v>
      </c>
      <c r="J146" s="9">
        <f t="shared" si="115"/>
        <v>0</v>
      </c>
      <c r="K146">
        <v>0</v>
      </c>
      <c r="L146">
        <v>0</v>
      </c>
      <c r="M146">
        <v>0</v>
      </c>
      <c r="N146" s="12">
        <f t="shared" si="116"/>
        <v>0</v>
      </c>
      <c r="O146" s="9">
        <f t="shared" si="139"/>
        <v>0</v>
      </c>
      <c r="P146" s="9">
        <f t="shared" si="117"/>
        <v>0</v>
      </c>
      <c r="Q146" s="9">
        <f t="shared" si="118"/>
        <v>0</v>
      </c>
      <c r="R146" s="9">
        <f t="shared" si="119"/>
        <v>0</v>
      </c>
      <c r="S146">
        <v>0</v>
      </c>
      <c r="T146">
        <v>0</v>
      </c>
      <c r="U146">
        <v>0</v>
      </c>
      <c r="V146" s="12">
        <f t="shared" si="120"/>
        <v>0</v>
      </c>
      <c r="W146" s="9">
        <f t="shared" si="140"/>
        <v>0</v>
      </c>
      <c r="X146" s="9">
        <f t="shared" si="121"/>
        <v>0</v>
      </c>
      <c r="Y146" s="9">
        <f t="shared" si="122"/>
        <v>0</v>
      </c>
      <c r="Z146" s="9">
        <f t="shared" si="123"/>
        <v>0</v>
      </c>
      <c r="AA146">
        <v>0</v>
      </c>
      <c r="AB146">
        <v>1</v>
      </c>
      <c r="AC146">
        <v>0</v>
      </c>
      <c r="AD146" s="12">
        <f t="shared" si="124"/>
        <v>0</v>
      </c>
      <c r="AE146" s="9">
        <f t="shared" si="125"/>
        <v>1</v>
      </c>
      <c r="AF146" s="9">
        <f t="shared" si="126"/>
        <v>1</v>
      </c>
      <c r="AG146" s="9">
        <f t="shared" si="127"/>
        <v>0</v>
      </c>
      <c r="AH146" s="9">
        <f t="shared" si="128"/>
        <v>1</v>
      </c>
      <c r="AI146" s="15">
        <f t="shared" si="129"/>
        <v>0</v>
      </c>
      <c r="AJ146" s="15">
        <f t="shared" si="130"/>
        <v>1</v>
      </c>
      <c r="AK146" s="15">
        <f t="shared" si="131"/>
        <v>0</v>
      </c>
      <c r="AL146" s="12">
        <f t="shared" si="132"/>
        <v>0</v>
      </c>
      <c r="AM146" s="12">
        <f t="shared" si="133"/>
        <v>0</v>
      </c>
      <c r="AN146" s="9">
        <f t="shared" si="134"/>
        <v>1</v>
      </c>
      <c r="AO146" s="9">
        <f t="shared" si="135"/>
        <v>1</v>
      </c>
      <c r="AP146" s="9">
        <f t="shared" si="136"/>
        <v>0</v>
      </c>
      <c r="AQ146" s="9">
        <f t="shared" si="137"/>
        <v>1</v>
      </c>
    </row>
    <row r="147">
      <c r="A147">
        <v>837</v>
      </c>
      <c r="B147" s="1" t="s">
        <v>293</v>
      </c>
      <c r="C147">
        <v>0</v>
      </c>
      <c r="D147">
        <v>1</v>
      </c>
      <c r="E147">
        <v>0</v>
      </c>
      <c r="F147" s="12">
        <f t="shared" si="112"/>
        <v>0</v>
      </c>
      <c r="G147" s="9">
        <f t="shared" si="138"/>
        <v>1</v>
      </c>
      <c r="H147" s="9">
        <f t="shared" si="113"/>
        <v>1</v>
      </c>
      <c r="I147" s="9">
        <f t="shared" si="114"/>
        <v>0</v>
      </c>
      <c r="J147" s="9">
        <f t="shared" si="115"/>
        <v>1</v>
      </c>
      <c r="K147">
        <v>0</v>
      </c>
      <c r="L147">
        <v>0</v>
      </c>
      <c r="M147">
        <v>0</v>
      </c>
      <c r="N147" s="12">
        <f t="shared" si="116"/>
        <v>0</v>
      </c>
      <c r="O147" s="9">
        <f t="shared" si="139"/>
        <v>0</v>
      </c>
      <c r="P147" s="9">
        <f t="shared" si="117"/>
        <v>0</v>
      </c>
      <c r="Q147" s="9">
        <f t="shared" si="118"/>
        <v>0</v>
      </c>
      <c r="R147" s="9">
        <f t="shared" si="119"/>
        <v>0</v>
      </c>
      <c r="S147">
        <v>0</v>
      </c>
      <c r="T147">
        <v>0</v>
      </c>
      <c r="U147">
        <v>0</v>
      </c>
      <c r="V147" s="12">
        <f t="shared" si="120"/>
        <v>0</v>
      </c>
      <c r="W147" s="9">
        <f t="shared" si="140"/>
        <v>0</v>
      </c>
      <c r="X147" s="9">
        <f t="shared" si="121"/>
        <v>0</v>
      </c>
      <c r="Y147" s="9">
        <f t="shared" si="122"/>
        <v>0</v>
      </c>
      <c r="Z147" s="9">
        <f t="shared" si="123"/>
        <v>0</v>
      </c>
      <c r="AA147">
        <v>0</v>
      </c>
      <c r="AB147">
        <v>0</v>
      </c>
      <c r="AC147">
        <v>0</v>
      </c>
      <c r="AD147" s="12">
        <f t="shared" si="124"/>
        <v>0</v>
      </c>
      <c r="AE147" s="9">
        <f t="shared" si="125"/>
        <v>0</v>
      </c>
      <c r="AF147" s="9">
        <f t="shared" si="126"/>
        <v>0</v>
      </c>
      <c r="AG147" s="9">
        <f t="shared" si="127"/>
        <v>0</v>
      </c>
      <c r="AH147" s="9">
        <f t="shared" si="128"/>
        <v>0</v>
      </c>
      <c r="AI147" s="15">
        <f t="shared" si="129"/>
        <v>0</v>
      </c>
      <c r="AJ147" s="15">
        <f t="shared" si="130"/>
        <v>1</v>
      </c>
      <c r="AK147" s="15">
        <f t="shared" si="131"/>
        <v>0</v>
      </c>
      <c r="AL147" s="12">
        <f t="shared" si="132"/>
        <v>0</v>
      </c>
      <c r="AM147" s="12">
        <f t="shared" si="133"/>
        <v>0</v>
      </c>
      <c r="AN147" s="9">
        <f t="shared" si="134"/>
        <v>1</v>
      </c>
      <c r="AO147" s="9">
        <f t="shared" si="135"/>
        <v>1</v>
      </c>
      <c r="AP147" s="9">
        <f t="shared" si="136"/>
        <v>0</v>
      </c>
      <c r="AQ147" s="9">
        <f t="shared" si="137"/>
        <v>1</v>
      </c>
    </row>
    <row r="148">
      <c r="A148">
        <v>847</v>
      </c>
      <c r="B148" s="1" t="s">
        <v>295</v>
      </c>
      <c r="C148">
        <v>0</v>
      </c>
      <c r="D148">
        <v>0</v>
      </c>
      <c r="E148">
        <v>0</v>
      </c>
      <c r="F148" s="12">
        <f t="shared" si="112"/>
        <v>0</v>
      </c>
      <c r="G148" s="9">
        <f t="shared" si="138"/>
        <v>0</v>
      </c>
      <c r="H148" s="9">
        <f t="shared" si="113"/>
        <v>0</v>
      </c>
      <c r="I148" s="9">
        <f t="shared" si="114"/>
        <v>0</v>
      </c>
      <c r="J148" s="9">
        <f t="shared" si="115"/>
        <v>0</v>
      </c>
      <c r="K148">
        <v>0</v>
      </c>
      <c r="L148">
        <v>0</v>
      </c>
      <c r="M148">
        <v>0</v>
      </c>
      <c r="N148" s="12">
        <f t="shared" si="116"/>
        <v>0</v>
      </c>
      <c r="O148" s="9">
        <f t="shared" si="139"/>
        <v>0</v>
      </c>
      <c r="P148" s="9">
        <f t="shared" si="117"/>
        <v>0</v>
      </c>
      <c r="Q148" s="9">
        <f t="shared" si="118"/>
        <v>0</v>
      </c>
      <c r="R148" s="9">
        <f t="shared" si="119"/>
        <v>0</v>
      </c>
      <c r="S148">
        <v>0</v>
      </c>
      <c r="T148">
        <v>0</v>
      </c>
      <c r="U148">
        <v>0</v>
      </c>
      <c r="V148" s="12">
        <f t="shared" si="120"/>
        <v>0</v>
      </c>
      <c r="W148" s="9">
        <f t="shared" si="140"/>
        <v>0</v>
      </c>
      <c r="X148" s="9">
        <f t="shared" si="121"/>
        <v>0</v>
      </c>
      <c r="Y148" s="9">
        <f t="shared" si="122"/>
        <v>0</v>
      </c>
      <c r="Z148" s="9">
        <f t="shared" si="123"/>
        <v>0</v>
      </c>
      <c r="AA148">
        <v>1</v>
      </c>
      <c r="AB148">
        <v>1</v>
      </c>
      <c r="AC148">
        <v>0</v>
      </c>
      <c r="AD148" s="12">
        <f t="shared" si="124"/>
        <v>1</v>
      </c>
      <c r="AE148" s="9">
        <f t="shared" si="125"/>
        <v>2</v>
      </c>
      <c r="AF148" s="9">
        <f t="shared" si="126"/>
        <v>2</v>
      </c>
      <c r="AG148" s="9">
        <f t="shared" si="127"/>
        <v>1</v>
      </c>
      <c r="AH148" s="9">
        <f t="shared" si="128"/>
        <v>1</v>
      </c>
      <c r="AI148" s="15">
        <f t="shared" si="129"/>
        <v>1</v>
      </c>
      <c r="AJ148" s="15">
        <f t="shared" si="130"/>
        <v>1</v>
      </c>
      <c r="AK148" s="15">
        <f t="shared" si="131"/>
        <v>0</v>
      </c>
      <c r="AL148" s="12">
        <f t="shared" si="132"/>
        <v>1</v>
      </c>
      <c r="AM148" s="12">
        <f t="shared" si="133"/>
        <v>1</v>
      </c>
      <c r="AN148" s="9">
        <f t="shared" si="134"/>
        <v>2</v>
      </c>
      <c r="AO148" s="9">
        <f t="shared" si="135"/>
        <v>2</v>
      </c>
      <c r="AP148" s="9">
        <f t="shared" si="136"/>
        <v>1</v>
      </c>
      <c r="AQ148" s="9">
        <f t="shared" si="137"/>
        <v>1</v>
      </c>
    </row>
    <row r="149" ht="29.100000000000001">
      <c r="A149">
        <v>851</v>
      </c>
      <c r="B149" s="1" t="s">
        <v>296</v>
      </c>
      <c r="C149">
        <v>0</v>
      </c>
      <c r="D149">
        <v>0</v>
      </c>
      <c r="E149">
        <v>0</v>
      </c>
      <c r="F149" s="12">
        <f t="shared" si="112"/>
        <v>0</v>
      </c>
      <c r="G149" s="9">
        <f t="shared" si="138"/>
        <v>0</v>
      </c>
      <c r="H149" s="9">
        <f t="shared" si="113"/>
        <v>0</v>
      </c>
      <c r="I149" s="9">
        <f t="shared" si="114"/>
        <v>0</v>
      </c>
      <c r="J149" s="9">
        <f t="shared" si="115"/>
        <v>0</v>
      </c>
      <c r="K149">
        <v>0</v>
      </c>
      <c r="L149">
        <v>0</v>
      </c>
      <c r="M149">
        <v>0</v>
      </c>
      <c r="N149" s="12">
        <f t="shared" si="116"/>
        <v>0</v>
      </c>
      <c r="O149" s="9">
        <f t="shared" si="139"/>
        <v>0</v>
      </c>
      <c r="P149" s="9">
        <f t="shared" si="117"/>
        <v>0</v>
      </c>
      <c r="Q149" s="9">
        <f t="shared" si="118"/>
        <v>0</v>
      </c>
      <c r="R149" s="9">
        <f t="shared" si="119"/>
        <v>0</v>
      </c>
      <c r="S149">
        <v>0</v>
      </c>
      <c r="T149">
        <v>0</v>
      </c>
      <c r="U149">
        <v>0</v>
      </c>
      <c r="V149" s="12">
        <f t="shared" si="120"/>
        <v>0</v>
      </c>
      <c r="W149" s="9">
        <f t="shared" si="140"/>
        <v>0</v>
      </c>
      <c r="X149" s="9">
        <f t="shared" si="121"/>
        <v>0</v>
      </c>
      <c r="Y149" s="9">
        <f t="shared" si="122"/>
        <v>0</v>
      </c>
      <c r="Z149" s="9">
        <f t="shared" si="123"/>
        <v>0</v>
      </c>
      <c r="AA149">
        <v>0</v>
      </c>
      <c r="AB149">
        <v>0</v>
      </c>
      <c r="AC149">
        <v>0</v>
      </c>
      <c r="AD149" s="12">
        <f t="shared" si="124"/>
        <v>0</v>
      </c>
      <c r="AE149" s="9">
        <f t="shared" si="125"/>
        <v>0</v>
      </c>
      <c r="AF149" s="9">
        <f t="shared" si="126"/>
        <v>0</v>
      </c>
      <c r="AG149" s="9">
        <f t="shared" si="127"/>
        <v>0</v>
      </c>
      <c r="AH149" s="9">
        <f t="shared" si="128"/>
        <v>0</v>
      </c>
      <c r="AI149" s="15">
        <f t="shared" si="129"/>
        <v>0</v>
      </c>
      <c r="AJ149" s="15">
        <f t="shared" si="130"/>
        <v>0</v>
      </c>
      <c r="AK149" s="15">
        <f t="shared" si="131"/>
        <v>0</v>
      </c>
      <c r="AL149" s="12">
        <f t="shared" si="132"/>
        <v>0</v>
      </c>
      <c r="AM149" s="12">
        <f t="shared" si="133"/>
        <v>0</v>
      </c>
      <c r="AN149" s="9">
        <f t="shared" si="134"/>
        <v>0</v>
      </c>
      <c r="AO149" s="9">
        <f t="shared" si="135"/>
        <v>0</v>
      </c>
      <c r="AP149" s="9">
        <f t="shared" si="136"/>
        <v>0</v>
      </c>
      <c r="AQ149" s="9">
        <f t="shared" si="137"/>
        <v>0</v>
      </c>
    </row>
    <row r="150">
      <c r="A150">
        <v>858</v>
      </c>
      <c r="B150" s="1" t="s">
        <v>298</v>
      </c>
      <c r="C150">
        <v>0</v>
      </c>
      <c r="D150">
        <v>0</v>
      </c>
      <c r="E150">
        <v>0</v>
      </c>
      <c r="F150" s="12">
        <f t="shared" si="112"/>
        <v>0</v>
      </c>
      <c r="G150" s="9">
        <f t="shared" si="138"/>
        <v>0</v>
      </c>
      <c r="H150" s="9">
        <f t="shared" si="113"/>
        <v>0</v>
      </c>
      <c r="I150" s="9">
        <f t="shared" si="114"/>
        <v>0</v>
      </c>
      <c r="J150" s="9">
        <f t="shared" si="115"/>
        <v>0</v>
      </c>
      <c r="K150">
        <v>0</v>
      </c>
      <c r="L150">
        <v>0</v>
      </c>
      <c r="M150">
        <v>0</v>
      </c>
      <c r="N150" s="12">
        <f t="shared" si="116"/>
        <v>0</v>
      </c>
      <c r="O150" s="9">
        <f t="shared" si="139"/>
        <v>0</v>
      </c>
      <c r="P150" s="9">
        <f t="shared" si="117"/>
        <v>0</v>
      </c>
      <c r="Q150" s="9">
        <f t="shared" si="118"/>
        <v>0</v>
      </c>
      <c r="R150" s="9">
        <f t="shared" si="119"/>
        <v>0</v>
      </c>
      <c r="S150">
        <v>0</v>
      </c>
      <c r="T150">
        <v>0</v>
      </c>
      <c r="U150">
        <v>0</v>
      </c>
      <c r="V150" s="12">
        <f t="shared" si="120"/>
        <v>0</v>
      </c>
      <c r="W150" s="9">
        <f t="shared" si="140"/>
        <v>0</v>
      </c>
      <c r="X150" s="9">
        <f t="shared" si="121"/>
        <v>0</v>
      </c>
      <c r="Y150" s="9">
        <f t="shared" si="122"/>
        <v>0</v>
      </c>
      <c r="Z150" s="9">
        <f t="shared" si="123"/>
        <v>0</v>
      </c>
      <c r="AA150">
        <v>0</v>
      </c>
      <c r="AB150">
        <v>0</v>
      </c>
      <c r="AC150">
        <v>0</v>
      </c>
      <c r="AD150" s="12">
        <f t="shared" si="124"/>
        <v>0</v>
      </c>
      <c r="AE150" s="9">
        <f t="shared" si="125"/>
        <v>0</v>
      </c>
      <c r="AF150" s="9">
        <f t="shared" si="126"/>
        <v>0</v>
      </c>
      <c r="AG150" s="9">
        <f t="shared" si="127"/>
        <v>0</v>
      </c>
      <c r="AH150" s="9">
        <f t="shared" si="128"/>
        <v>0</v>
      </c>
      <c r="AI150" s="15">
        <f t="shared" si="129"/>
        <v>0</v>
      </c>
      <c r="AJ150" s="15">
        <f t="shared" si="130"/>
        <v>0</v>
      </c>
      <c r="AK150" s="15">
        <f t="shared" si="131"/>
        <v>0</v>
      </c>
      <c r="AL150" s="12">
        <f t="shared" si="132"/>
        <v>0</v>
      </c>
      <c r="AM150" s="12">
        <f t="shared" si="133"/>
        <v>0</v>
      </c>
      <c r="AN150" s="9">
        <f t="shared" si="134"/>
        <v>0</v>
      </c>
      <c r="AO150" s="9">
        <f t="shared" si="135"/>
        <v>0</v>
      </c>
      <c r="AP150" s="9">
        <f t="shared" si="136"/>
        <v>0</v>
      </c>
      <c r="AQ150" s="9">
        <f t="shared" si="137"/>
        <v>0</v>
      </c>
    </row>
    <row r="151" ht="29.100000000000001">
      <c r="A151">
        <v>862</v>
      </c>
      <c r="B151" s="1" t="s">
        <v>299</v>
      </c>
      <c r="C151">
        <v>0</v>
      </c>
      <c r="D151">
        <v>0</v>
      </c>
      <c r="E151">
        <v>0</v>
      </c>
      <c r="F151" s="12">
        <f t="shared" si="112"/>
        <v>0</v>
      </c>
      <c r="G151" s="9">
        <f t="shared" si="138"/>
        <v>0</v>
      </c>
      <c r="H151" s="9">
        <f t="shared" si="113"/>
        <v>0</v>
      </c>
      <c r="I151" s="9">
        <f t="shared" si="114"/>
        <v>0</v>
      </c>
      <c r="J151" s="9">
        <f t="shared" si="115"/>
        <v>0</v>
      </c>
      <c r="K151">
        <v>0</v>
      </c>
      <c r="L151">
        <v>0</v>
      </c>
      <c r="M151">
        <v>0</v>
      </c>
      <c r="N151" s="12">
        <f t="shared" si="116"/>
        <v>0</v>
      </c>
      <c r="O151" s="9">
        <f t="shared" si="139"/>
        <v>0</v>
      </c>
      <c r="P151" s="9">
        <f t="shared" si="117"/>
        <v>0</v>
      </c>
      <c r="Q151" s="9">
        <f t="shared" si="118"/>
        <v>0</v>
      </c>
      <c r="R151" s="9">
        <f t="shared" si="119"/>
        <v>0</v>
      </c>
      <c r="S151">
        <v>1</v>
      </c>
      <c r="T151">
        <v>1</v>
      </c>
      <c r="U151">
        <v>1</v>
      </c>
      <c r="V151" s="12">
        <f t="shared" si="120"/>
        <v>1</v>
      </c>
      <c r="W151" s="9">
        <f t="shared" si="140"/>
        <v>3</v>
      </c>
      <c r="X151" s="9">
        <f t="shared" si="121"/>
        <v>2</v>
      </c>
      <c r="Y151" s="9">
        <f t="shared" si="122"/>
        <v>2</v>
      </c>
      <c r="Z151" s="9">
        <f t="shared" si="123"/>
        <v>2</v>
      </c>
      <c r="AA151">
        <v>0</v>
      </c>
      <c r="AB151">
        <v>0</v>
      </c>
      <c r="AC151">
        <v>0</v>
      </c>
      <c r="AD151" s="12">
        <f t="shared" si="124"/>
        <v>0</v>
      </c>
      <c r="AE151" s="9">
        <f t="shared" si="125"/>
        <v>0</v>
      </c>
      <c r="AF151" s="9">
        <f t="shared" si="126"/>
        <v>0</v>
      </c>
      <c r="AG151" s="9">
        <f t="shared" si="127"/>
        <v>0</v>
      </c>
      <c r="AH151" s="9">
        <f t="shared" si="128"/>
        <v>0</v>
      </c>
      <c r="AI151" s="15">
        <f t="shared" si="129"/>
        <v>1</v>
      </c>
      <c r="AJ151" s="15">
        <f t="shared" si="130"/>
        <v>1</v>
      </c>
      <c r="AK151" s="15">
        <f t="shared" si="131"/>
        <v>1</v>
      </c>
      <c r="AL151" s="12">
        <f t="shared" si="132"/>
        <v>1</v>
      </c>
      <c r="AM151" s="12">
        <f t="shared" si="133"/>
        <v>1</v>
      </c>
      <c r="AN151" s="9">
        <f t="shared" si="134"/>
        <v>3</v>
      </c>
      <c r="AO151" s="9">
        <f t="shared" si="135"/>
        <v>2</v>
      </c>
      <c r="AP151" s="9">
        <f t="shared" si="136"/>
        <v>2</v>
      </c>
      <c r="AQ151" s="9">
        <f t="shared" si="137"/>
        <v>2</v>
      </c>
    </row>
    <row r="152">
      <c r="A152">
        <v>878</v>
      </c>
      <c r="B152" s="1" t="s">
        <v>300</v>
      </c>
      <c r="C152">
        <v>1</v>
      </c>
      <c r="D152">
        <v>1</v>
      </c>
      <c r="E152">
        <v>1</v>
      </c>
      <c r="F152" s="12">
        <f t="shared" si="112"/>
        <v>1</v>
      </c>
      <c r="G152" s="9">
        <f t="shared" si="138"/>
        <v>3</v>
      </c>
      <c r="H152" s="9">
        <f t="shared" si="113"/>
        <v>2</v>
      </c>
      <c r="I152" s="9">
        <f t="shared" si="114"/>
        <v>2</v>
      </c>
      <c r="J152" s="9">
        <f t="shared" si="115"/>
        <v>2</v>
      </c>
      <c r="K152">
        <v>0</v>
      </c>
      <c r="L152">
        <v>0</v>
      </c>
      <c r="M152">
        <v>0</v>
      </c>
      <c r="N152" s="12">
        <f t="shared" si="116"/>
        <v>0</v>
      </c>
      <c r="O152" s="9">
        <f t="shared" si="139"/>
        <v>0</v>
      </c>
      <c r="P152" s="9">
        <f t="shared" si="117"/>
        <v>0</v>
      </c>
      <c r="Q152" s="9">
        <f t="shared" si="118"/>
        <v>0</v>
      </c>
      <c r="R152" s="9">
        <f t="shared" si="119"/>
        <v>0</v>
      </c>
      <c r="S152">
        <v>0</v>
      </c>
      <c r="T152">
        <v>0</v>
      </c>
      <c r="U152">
        <v>0</v>
      </c>
      <c r="V152" s="12">
        <f t="shared" si="120"/>
        <v>0</v>
      </c>
      <c r="W152" s="9">
        <f t="shared" si="140"/>
        <v>0</v>
      </c>
      <c r="X152" s="9">
        <f t="shared" si="121"/>
        <v>0</v>
      </c>
      <c r="Y152" s="9">
        <f t="shared" si="122"/>
        <v>0</v>
      </c>
      <c r="Z152" s="9">
        <f t="shared" si="123"/>
        <v>0</v>
      </c>
      <c r="AA152">
        <v>0</v>
      </c>
      <c r="AB152">
        <v>0</v>
      </c>
      <c r="AC152">
        <v>0</v>
      </c>
      <c r="AD152" s="12">
        <f t="shared" si="124"/>
        <v>0</v>
      </c>
      <c r="AE152" s="9">
        <f t="shared" si="125"/>
        <v>0</v>
      </c>
      <c r="AF152" s="9">
        <f t="shared" si="126"/>
        <v>0</v>
      </c>
      <c r="AG152" s="9">
        <f t="shared" si="127"/>
        <v>0</v>
      </c>
      <c r="AH152" s="9">
        <f t="shared" si="128"/>
        <v>0</v>
      </c>
      <c r="AI152" s="15">
        <f t="shared" si="129"/>
        <v>1</v>
      </c>
      <c r="AJ152" s="15">
        <f t="shared" si="130"/>
        <v>1</v>
      </c>
      <c r="AK152" s="15">
        <f t="shared" si="131"/>
        <v>1</v>
      </c>
      <c r="AL152" s="12">
        <f t="shared" si="132"/>
        <v>1</v>
      </c>
      <c r="AM152" s="12">
        <f t="shared" si="133"/>
        <v>1</v>
      </c>
      <c r="AN152" s="9">
        <f t="shared" si="134"/>
        <v>3</v>
      </c>
      <c r="AO152" s="9">
        <f t="shared" si="135"/>
        <v>2</v>
      </c>
      <c r="AP152" s="9">
        <f t="shared" si="136"/>
        <v>2</v>
      </c>
      <c r="AQ152" s="9">
        <f t="shared" si="137"/>
        <v>2</v>
      </c>
    </row>
    <row r="153">
      <c r="A153">
        <v>883</v>
      </c>
      <c r="B153" s="1" t="s">
        <v>301</v>
      </c>
      <c r="C153">
        <v>0</v>
      </c>
      <c r="D153">
        <v>0</v>
      </c>
      <c r="E153">
        <v>0</v>
      </c>
      <c r="F153" s="12">
        <f t="shared" si="112"/>
        <v>0</v>
      </c>
      <c r="G153" s="9">
        <f t="shared" si="138"/>
        <v>0</v>
      </c>
      <c r="H153" s="9">
        <f t="shared" si="113"/>
        <v>0</v>
      </c>
      <c r="I153" s="9">
        <f t="shared" si="114"/>
        <v>0</v>
      </c>
      <c r="J153" s="9">
        <f t="shared" si="115"/>
        <v>0</v>
      </c>
      <c r="K153">
        <v>0</v>
      </c>
      <c r="L153">
        <v>0</v>
      </c>
      <c r="M153">
        <v>0</v>
      </c>
      <c r="N153" s="12">
        <f t="shared" si="116"/>
        <v>0</v>
      </c>
      <c r="O153" s="9">
        <f t="shared" si="139"/>
        <v>0</v>
      </c>
      <c r="P153" s="9">
        <f t="shared" si="117"/>
        <v>0</v>
      </c>
      <c r="Q153" s="9">
        <f t="shared" si="118"/>
        <v>0</v>
      </c>
      <c r="R153" s="9">
        <f t="shared" si="119"/>
        <v>0</v>
      </c>
      <c r="S153">
        <v>0</v>
      </c>
      <c r="T153">
        <v>0</v>
      </c>
      <c r="U153">
        <v>0</v>
      </c>
      <c r="V153" s="12">
        <f t="shared" si="120"/>
        <v>0</v>
      </c>
      <c r="W153" s="9">
        <f t="shared" si="140"/>
        <v>0</v>
      </c>
      <c r="X153" s="9">
        <f t="shared" si="121"/>
        <v>0</v>
      </c>
      <c r="Y153" s="9">
        <f t="shared" si="122"/>
        <v>0</v>
      </c>
      <c r="Z153" s="9">
        <f t="shared" si="123"/>
        <v>0</v>
      </c>
      <c r="AA153">
        <v>0</v>
      </c>
      <c r="AB153">
        <v>0</v>
      </c>
      <c r="AC153">
        <v>0</v>
      </c>
      <c r="AD153" s="12">
        <f t="shared" si="124"/>
        <v>0</v>
      </c>
      <c r="AE153" s="9">
        <f t="shared" si="125"/>
        <v>0</v>
      </c>
      <c r="AF153" s="9">
        <f t="shared" si="126"/>
        <v>0</v>
      </c>
      <c r="AG153" s="9">
        <f t="shared" si="127"/>
        <v>0</v>
      </c>
      <c r="AH153" s="9">
        <f t="shared" si="128"/>
        <v>0</v>
      </c>
      <c r="AI153" s="15">
        <f t="shared" si="129"/>
        <v>0</v>
      </c>
      <c r="AJ153" s="15">
        <f t="shared" si="130"/>
        <v>0</v>
      </c>
      <c r="AK153" s="15">
        <f t="shared" si="131"/>
        <v>0</v>
      </c>
      <c r="AL153" s="12">
        <f t="shared" si="132"/>
        <v>0</v>
      </c>
      <c r="AM153" s="12">
        <f t="shared" si="133"/>
        <v>0</v>
      </c>
      <c r="AN153" s="9">
        <f t="shared" si="134"/>
        <v>0</v>
      </c>
      <c r="AO153" s="9">
        <f t="shared" si="135"/>
        <v>0</v>
      </c>
      <c r="AP153" s="9">
        <f t="shared" si="136"/>
        <v>0</v>
      </c>
      <c r="AQ153" s="9">
        <f t="shared" si="137"/>
        <v>0</v>
      </c>
    </row>
    <row r="154">
      <c r="A154">
        <v>884</v>
      </c>
      <c r="B154" s="1" t="s">
        <v>303</v>
      </c>
      <c r="C154">
        <v>0</v>
      </c>
      <c r="D154">
        <v>0</v>
      </c>
      <c r="E154">
        <v>0</v>
      </c>
      <c r="F154" s="12">
        <f t="shared" si="112"/>
        <v>0</v>
      </c>
      <c r="G154" s="9">
        <f t="shared" si="138"/>
        <v>0</v>
      </c>
      <c r="H154" s="9">
        <f t="shared" si="113"/>
        <v>0</v>
      </c>
      <c r="I154" s="9">
        <f t="shared" si="114"/>
        <v>0</v>
      </c>
      <c r="J154" s="9">
        <f t="shared" si="115"/>
        <v>0</v>
      </c>
      <c r="K154">
        <v>0</v>
      </c>
      <c r="L154">
        <v>0</v>
      </c>
      <c r="M154">
        <v>0</v>
      </c>
      <c r="N154" s="12">
        <f t="shared" si="116"/>
        <v>0</v>
      </c>
      <c r="O154" s="9">
        <f t="shared" si="139"/>
        <v>0</v>
      </c>
      <c r="P154" s="9">
        <f t="shared" si="117"/>
        <v>0</v>
      </c>
      <c r="Q154" s="9">
        <f t="shared" si="118"/>
        <v>0</v>
      </c>
      <c r="R154" s="9">
        <f t="shared" si="119"/>
        <v>0</v>
      </c>
      <c r="S154">
        <v>0</v>
      </c>
      <c r="T154">
        <v>0</v>
      </c>
      <c r="U154">
        <v>0</v>
      </c>
      <c r="V154" s="12">
        <f t="shared" si="120"/>
        <v>0</v>
      </c>
      <c r="W154" s="9">
        <f t="shared" si="140"/>
        <v>0</v>
      </c>
      <c r="X154" s="9">
        <f t="shared" si="121"/>
        <v>0</v>
      </c>
      <c r="Y154" s="9">
        <f t="shared" si="122"/>
        <v>0</v>
      </c>
      <c r="Z154" s="9">
        <f t="shared" si="123"/>
        <v>0</v>
      </c>
      <c r="AA154">
        <v>0</v>
      </c>
      <c r="AB154">
        <v>0</v>
      </c>
      <c r="AC154">
        <v>0</v>
      </c>
      <c r="AD154" s="12">
        <f t="shared" si="124"/>
        <v>0</v>
      </c>
      <c r="AE154" s="9">
        <f t="shared" si="125"/>
        <v>0</v>
      </c>
      <c r="AF154" s="9">
        <f t="shared" si="126"/>
        <v>0</v>
      </c>
      <c r="AG154" s="9">
        <f t="shared" si="127"/>
        <v>0</v>
      </c>
      <c r="AH154" s="9">
        <f t="shared" si="128"/>
        <v>0</v>
      </c>
      <c r="AI154" s="15">
        <f t="shared" si="129"/>
        <v>0</v>
      </c>
      <c r="AJ154" s="15">
        <f t="shared" si="130"/>
        <v>0</v>
      </c>
      <c r="AK154" s="15">
        <f t="shared" si="131"/>
        <v>0</v>
      </c>
      <c r="AL154" s="12">
        <f t="shared" si="132"/>
        <v>0</v>
      </c>
      <c r="AM154" s="12">
        <f t="shared" si="133"/>
        <v>0</v>
      </c>
      <c r="AN154" s="9">
        <f t="shared" si="134"/>
        <v>0</v>
      </c>
      <c r="AO154" s="9">
        <f t="shared" si="135"/>
        <v>0</v>
      </c>
      <c r="AP154" s="9">
        <f t="shared" si="136"/>
        <v>0</v>
      </c>
      <c r="AQ154" s="9">
        <f t="shared" si="137"/>
        <v>0</v>
      </c>
    </row>
    <row r="155">
      <c r="A155">
        <v>886</v>
      </c>
      <c r="B155" s="1" t="s">
        <v>304</v>
      </c>
      <c r="C155">
        <v>0</v>
      </c>
      <c r="D155">
        <v>0</v>
      </c>
      <c r="E155">
        <v>0</v>
      </c>
      <c r="F155" s="12">
        <f t="shared" si="112"/>
        <v>0</v>
      </c>
      <c r="G155" s="9">
        <f t="shared" si="138"/>
        <v>0</v>
      </c>
      <c r="H155" s="9">
        <f t="shared" si="113"/>
        <v>0</v>
      </c>
      <c r="I155" s="9">
        <f t="shared" si="114"/>
        <v>0</v>
      </c>
      <c r="J155" s="9">
        <f t="shared" si="115"/>
        <v>0</v>
      </c>
      <c r="K155">
        <v>0</v>
      </c>
      <c r="L155">
        <v>0</v>
      </c>
      <c r="M155">
        <v>0</v>
      </c>
      <c r="N155" s="12">
        <f t="shared" si="116"/>
        <v>0</v>
      </c>
      <c r="O155" s="9">
        <f t="shared" si="139"/>
        <v>0</v>
      </c>
      <c r="P155" s="9">
        <f t="shared" si="117"/>
        <v>0</v>
      </c>
      <c r="Q155" s="9">
        <f t="shared" si="118"/>
        <v>0</v>
      </c>
      <c r="R155" s="9">
        <f t="shared" si="119"/>
        <v>0</v>
      </c>
      <c r="S155">
        <v>0</v>
      </c>
      <c r="T155">
        <v>0</v>
      </c>
      <c r="U155">
        <v>0</v>
      </c>
      <c r="V155" s="12">
        <f t="shared" si="120"/>
        <v>0</v>
      </c>
      <c r="W155" s="9">
        <f t="shared" si="140"/>
        <v>0</v>
      </c>
      <c r="X155" s="9">
        <f t="shared" si="121"/>
        <v>0</v>
      </c>
      <c r="Y155" s="9">
        <f t="shared" si="122"/>
        <v>0</v>
      </c>
      <c r="Z155" s="9">
        <f t="shared" si="123"/>
        <v>0</v>
      </c>
      <c r="AA155">
        <v>0</v>
      </c>
      <c r="AB155">
        <v>0</v>
      </c>
      <c r="AC155">
        <v>0</v>
      </c>
      <c r="AD155" s="12">
        <f t="shared" si="124"/>
        <v>0</v>
      </c>
      <c r="AE155" s="9">
        <f t="shared" si="125"/>
        <v>0</v>
      </c>
      <c r="AF155" s="9">
        <f t="shared" si="126"/>
        <v>0</v>
      </c>
      <c r="AG155" s="9">
        <f t="shared" si="127"/>
        <v>0</v>
      </c>
      <c r="AH155" s="9">
        <f t="shared" si="128"/>
        <v>0</v>
      </c>
      <c r="AI155" s="15">
        <f t="shared" si="129"/>
        <v>0</v>
      </c>
      <c r="AJ155" s="15">
        <f t="shared" si="130"/>
        <v>0</v>
      </c>
      <c r="AK155" s="15">
        <f t="shared" si="131"/>
        <v>0</v>
      </c>
      <c r="AL155" s="12">
        <f t="shared" si="132"/>
        <v>0</v>
      </c>
      <c r="AM155" s="12">
        <f t="shared" si="133"/>
        <v>0</v>
      </c>
      <c r="AN155" s="9">
        <f t="shared" si="134"/>
        <v>0</v>
      </c>
      <c r="AO155" s="9">
        <f t="shared" si="135"/>
        <v>0</v>
      </c>
      <c r="AP155" s="9">
        <f t="shared" si="136"/>
        <v>0</v>
      </c>
      <c r="AQ155" s="9">
        <f t="shared" si="137"/>
        <v>0</v>
      </c>
    </row>
    <row r="156">
      <c r="A156">
        <v>892</v>
      </c>
      <c r="B156" s="1" t="s">
        <v>305</v>
      </c>
      <c r="C156">
        <v>0</v>
      </c>
      <c r="D156">
        <v>0</v>
      </c>
      <c r="E156">
        <v>0</v>
      </c>
      <c r="F156" s="12">
        <f t="shared" si="112"/>
        <v>0</v>
      </c>
      <c r="G156" s="9">
        <f t="shared" si="138"/>
        <v>0</v>
      </c>
      <c r="H156" s="9">
        <f t="shared" si="113"/>
        <v>0</v>
      </c>
      <c r="I156" s="9">
        <f t="shared" si="114"/>
        <v>0</v>
      </c>
      <c r="J156" s="9">
        <f t="shared" si="115"/>
        <v>0</v>
      </c>
      <c r="K156">
        <v>0</v>
      </c>
      <c r="L156">
        <v>0</v>
      </c>
      <c r="M156">
        <v>0</v>
      </c>
      <c r="N156" s="12">
        <f t="shared" si="116"/>
        <v>0</v>
      </c>
      <c r="O156" s="9">
        <f t="shared" si="139"/>
        <v>0</v>
      </c>
      <c r="P156" s="9">
        <f t="shared" si="117"/>
        <v>0</v>
      </c>
      <c r="Q156" s="9">
        <f t="shared" si="118"/>
        <v>0</v>
      </c>
      <c r="R156" s="9">
        <f t="shared" si="119"/>
        <v>0</v>
      </c>
      <c r="S156">
        <v>0</v>
      </c>
      <c r="T156">
        <v>0</v>
      </c>
      <c r="U156">
        <v>0</v>
      </c>
      <c r="V156" s="12">
        <f t="shared" si="120"/>
        <v>0</v>
      </c>
      <c r="W156" s="9">
        <f t="shared" si="140"/>
        <v>0</v>
      </c>
      <c r="X156" s="9">
        <f t="shared" si="121"/>
        <v>0</v>
      </c>
      <c r="Y156" s="9">
        <f t="shared" si="122"/>
        <v>0</v>
      </c>
      <c r="Z156" s="9">
        <f t="shared" si="123"/>
        <v>0</v>
      </c>
      <c r="AA156">
        <v>0</v>
      </c>
      <c r="AB156">
        <v>0</v>
      </c>
      <c r="AC156">
        <v>0</v>
      </c>
      <c r="AD156" s="12">
        <f t="shared" si="124"/>
        <v>0</v>
      </c>
      <c r="AE156" s="9">
        <f t="shared" si="125"/>
        <v>0</v>
      </c>
      <c r="AF156" s="9">
        <f t="shared" si="126"/>
        <v>0</v>
      </c>
      <c r="AG156" s="9">
        <f t="shared" si="127"/>
        <v>0</v>
      </c>
      <c r="AH156" s="9">
        <f t="shared" si="128"/>
        <v>0</v>
      </c>
      <c r="AI156" s="15">
        <f t="shared" si="129"/>
        <v>0</v>
      </c>
      <c r="AJ156" s="15">
        <f t="shared" si="130"/>
        <v>0</v>
      </c>
      <c r="AK156" s="15">
        <f t="shared" si="131"/>
        <v>0</v>
      </c>
      <c r="AL156" s="12">
        <f t="shared" si="132"/>
        <v>0</v>
      </c>
      <c r="AM156" s="12">
        <f t="shared" si="133"/>
        <v>0</v>
      </c>
      <c r="AN156" s="9">
        <f t="shared" si="134"/>
        <v>0</v>
      </c>
      <c r="AO156" s="9">
        <f t="shared" si="135"/>
        <v>0</v>
      </c>
      <c r="AP156" s="9">
        <f t="shared" si="136"/>
        <v>0</v>
      </c>
      <c r="AQ156" s="9">
        <f t="shared" si="137"/>
        <v>0</v>
      </c>
    </row>
    <row r="157">
      <c r="A157">
        <v>893</v>
      </c>
      <c r="B157" s="1" t="s">
        <v>307</v>
      </c>
      <c r="C157">
        <v>0</v>
      </c>
      <c r="D157">
        <v>1</v>
      </c>
      <c r="E157">
        <v>0</v>
      </c>
      <c r="F157" s="12">
        <f t="shared" si="112"/>
        <v>0</v>
      </c>
      <c r="G157" s="9">
        <f t="shared" si="138"/>
        <v>1</v>
      </c>
      <c r="H157" s="9">
        <f t="shared" si="113"/>
        <v>1</v>
      </c>
      <c r="I157" s="9">
        <f t="shared" si="114"/>
        <v>0</v>
      </c>
      <c r="J157" s="9">
        <f t="shared" si="115"/>
        <v>1</v>
      </c>
      <c r="K157">
        <v>0</v>
      </c>
      <c r="L157">
        <v>0</v>
      </c>
      <c r="M157">
        <v>0</v>
      </c>
      <c r="N157" s="12">
        <f t="shared" si="116"/>
        <v>0</v>
      </c>
      <c r="O157" s="9">
        <f t="shared" si="139"/>
        <v>0</v>
      </c>
      <c r="P157" s="9">
        <f t="shared" si="117"/>
        <v>0</v>
      </c>
      <c r="Q157" s="9">
        <f t="shared" si="118"/>
        <v>0</v>
      </c>
      <c r="R157" s="9">
        <f t="shared" si="119"/>
        <v>0</v>
      </c>
      <c r="S157">
        <v>0</v>
      </c>
      <c r="T157">
        <v>0</v>
      </c>
      <c r="U157">
        <v>0</v>
      </c>
      <c r="V157" s="12">
        <f t="shared" si="120"/>
        <v>0</v>
      </c>
      <c r="W157" s="9">
        <f t="shared" si="140"/>
        <v>0</v>
      </c>
      <c r="X157" s="9">
        <f t="shared" si="121"/>
        <v>0</v>
      </c>
      <c r="Y157" s="9">
        <f t="shared" si="122"/>
        <v>0</v>
      </c>
      <c r="Z157" s="9">
        <f t="shared" si="123"/>
        <v>0</v>
      </c>
      <c r="AA157">
        <v>0</v>
      </c>
      <c r="AB157">
        <v>0</v>
      </c>
      <c r="AC157">
        <v>0</v>
      </c>
      <c r="AD157" s="12">
        <f t="shared" si="124"/>
        <v>0</v>
      </c>
      <c r="AE157" s="9">
        <f t="shared" si="125"/>
        <v>0</v>
      </c>
      <c r="AF157" s="9">
        <f t="shared" si="126"/>
        <v>0</v>
      </c>
      <c r="AG157" s="9">
        <f t="shared" si="127"/>
        <v>0</v>
      </c>
      <c r="AH157" s="9">
        <f t="shared" si="128"/>
        <v>0</v>
      </c>
      <c r="AI157" s="15">
        <f t="shared" si="129"/>
        <v>0</v>
      </c>
      <c r="AJ157" s="15">
        <f t="shared" si="130"/>
        <v>1</v>
      </c>
      <c r="AK157" s="15">
        <f t="shared" si="131"/>
        <v>0</v>
      </c>
      <c r="AL157" s="12">
        <f t="shared" si="132"/>
        <v>0</v>
      </c>
      <c r="AM157" s="12">
        <f t="shared" si="133"/>
        <v>0</v>
      </c>
      <c r="AN157" s="9">
        <f t="shared" si="134"/>
        <v>1</v>
      </c>
      <c r="AO157" s="9">
        <f t="shared" si="135"/>
        <v>1</v>
      </c>
      <c r="AP157" s="9">
        <f t="shared" si="136"/>
        <v>0</v>
      </c>
      <c r="AQ157" s="9">
        <f t="shared" si="137"/>
        <v>1</v>
      </c>
    </row>
    <row r="158">
      <c r="A158">
        <v>898</v>
      </c>
      <c r="B158" s="1" t="s">
        <v>309</v>
      </c>
      <c r="C158">
        <v>0</v>
      </c>
      <c r="D158">
        <v>1</v>
      </c>
      <c r="E158">
        <v>0</v>
      </c>
      <c r="F158" s="12">
        <f t="shared" si="112"/>
        <v>0</v>
      </c>
      <c r="G158" s="9">
        <f t="shared" si="138"/>
        <v>1</v>
      </c>
      <c r="H158" s="9">
        <f t="shared" si="113"/>
        <v>1</v>
      </c>
      <c r="I158" s="9">
        <f t="shared" si="114"/>
        <v>0</v>
      </c>
      <c r="J158" s="9">
        <f t="shared" si="115"/>
        <v>1</v>
      </c>
      <c r="K158">
        <v>0</v>
      </c>
      <c r="L158">
        <v>0</v>
      </c>
      <c r="M158">
        <v>0</v>
      </c>
      <c r="N158" s="12">
        <f t="shared" si="116"/>
        <v>0</v>
      </c>
      <c r="O158" s="9">
        <f t="shared" si="139"/>
        <v>0</v>
      </c>
      <c r="P158" s="9">
        <f t="shared" si="117"/>
        <v>0</v>
      </c>
      <c r="Q158" s="9">
        <f t="shared" si="118"/>
        <v>0</v>
      </c>
      <c r="R158" s="9">
        <f t="shared" si="119"/>
        <v>0</v>
      </c>
      <c r="S158">
        <v>0</v>
      </c>
      <c r="T158">
        <v>0</v>
      </c>
      <c r="U158">
        <v>0</v>
      </c>
      <c r="V158" s="12">
        <f t="shared" si="120"/>
        <v>0</v>
      </c>
      <c r="W158" s="9">
        <f t="shared" si="140"/>
        <v>0</v>
      </c>
      <c r="X158" s="9">
        <f t="shared" si="121"/>
        <v>0</v>
      </c>
      <c r="Y158" s="9">
        <f t="shared" si="122"/>
        <v>0</v>
      </c>
      <c r="Z158" s="9">
        <f t="shared" si="123"/>
        <v>0</v>
      </c>
      <c r="AA158">
        <v>0</v>
      </c>
      <c r="AB158">
        <v>1</v>
      </c>
      <c r="AC158">
        <v>1</v>
      </c>
      <c r="AD158" s="12">
        <f t="shared" si="124"/>
        <v>1</v>
      </c>
      <c r="AE158" s="9">
        <f t="shared" si="125"/>
        <v>2</v>
      </c>
      <c r="AF158" s="9">
        <f t="shared" si="126"/>
        <v>1</v>
      </c>
      <c r="AG158" s="9">
        <f t="shared" si="127"/>
        <v>1</v>
      </c>
      <c r="AH158" s="9">
        <f t="shared" si="128"/>
        <v>2</v>
      </c>
      <c r="AI158" s="15">
        <f t="shared" si="129"/>
        <v>0</v>
      </c>
      <c r="AJ158" s="15">
        <f t="shared" si="130"/>
        <v>1</v>
      </c>
      <c r="AK158" s="15">
        <f t="shared" si="131"/>
        <v>1</v>
      </c>
      <c r="AL158" s="12">
        <f t="shared" si="132"/>
        <v>1</v>
      </c>
      <c r="AM158" s="12">
        <f t="shared" si="133"/>
        <v>1</v>
      </c>
      <c r="AN158" s="9">
        <f t="shared" si="134"/>
        <v>2</v>
      </c>
      <c r="AO158" s="9">
        <f t="shared" si="135"/>
        <v>1</v>
      </c>
      <c r="AP158" s="9">
        <f t="shared" si="136"/>
        <v>1</v>
      </c>
      <c r="AQ158" s="9">
        <f t="shared" si="137"/>
        <v>2</v>
      </c>
    </row>
    <row r="159">
      <c r="A159">
        <v>905</v>
      </c>
      <c r="B159" s="1" t="s">
        <v>311</v>
      </c>
      <c r="C159">
        <v>0</v>
      </c>
      <c r="D159">
        <v>0</v>
      </c>
      <c r="E159">
        <v>0</v>
      </c>
      <c r="F159" s="12">
        <f t="shared" si="112"/>
        <v>0</v>
      </c>
      <c r="G159" s="9">
        <f t="shared" si="138"/>
        <v>0</v>
      </c>
      <c r="H159" s="9">
        <f t="shared" si="113"/>
        <v>0</v>
      </c>
      <c r="I159" s="9">
        <f t="shared" si="114"/>
        <v>0</v>
      </c>
      <c r="J159" s="9">
        <f t="shared" si="115"/>
        <v>0</v>
      </c>
      <c r="K159">
        <v>1</v>
      </c>
      <c r="L159">
        <v>1</v>
      </c>
      <c r="M159">
        <v>0</v>
      </c>
      <c r="N159" s="12">
        <f t="shared" si="116"/>
        <v>1</v>
      </c>
      <c r="O159" s="9">
        <f t="shared" si="139"/>
        <v>2</v>
      </c>
      <c r="P159" s="9">
        <f t="shared" si="117"/>
        <v>2</v>
      </c>
      <c r="Q159" s="9">
        <f t="shared" si="118"/>
        <v>1</v>
      </c>
      <c r="R159" s="9">
        <f t="shared" si="119"/>
        <v>1</v>
      </c>
      <c r="S159">
        <v>0</v>
      </c>
      <c r="T159">
        <v>0</v>
      </c>
      <c r="U159">
        <v>0</v>
      </c>
      <c r="V159" s="12">
        <f t="shared" si="120"/>
        <v>0</v>
      </c>
      <c r="W159" s="9">
        <f t="shared" si="140"/>
        <v>0</v>
      </c>
      <c r="X159" s="9">
        <f t="shared" si="121"/>
        <v>0</v>
      </c>
      <c r="Y159" s="9">
        <f t="shared" si="122"/>
        <v>0</v>
      </c>
      <c r="Z159" s="9">
        <f t="shared" si="123"/>
        <v>0</v>
      </c>
      <c r="AA159">
        <v>1</v>
      </c>
      <c r="AB159">
        <v>1</v>
      </c>
      <c r="AC159">
        <v>0</v>
      </c>
      <c r="AD159" s="12">
        <f t="shared" si="124"/>
        <v>1</v>
      </c>
      <c r="AE159" s="9">
        <f t="shared" si="125"/>
        <v>2</v>
      </c>
      <c r="AF159" s="9">
        <f t="shared" si="126"/>
        <v>2</v>
      </c>
      <c r="AG159" s="9">
        <f t="shared" si="127"/>
        <v>1</v>
      </c>
      <c r="AH159" s="9">
        <f t="shared" si="128"/>
        <v>1</v>
      </c>
      <c r="AI159" s="15">
        <f t="shared" si="129"/>
        <v>1</v>
      </c>
      <c r="AJ159" s="15">
        <f t="shared" si="130"/>
        <v>1</v>
      </c>
      <c r="AK159" s="15">
        <f t="shared" si="131"/>
        <v>0</v>
      </c>
      <c r="AL159" s="12">
        <f t="shared" si="132"/>
        <v>1</v>
      </c>
      <c r="AM159" s="12">
        <f t="shared" si="133"/>
        <v>1</v>
      </c>
      <c r="AN159" s="9">
        <f t="shared" si="134"/>
        <v>2</v>
      </c>
      <c r="AO159" s="9">
        <f t="shared" si="135"/>
        <v>2</v>
      </c>
      <c r="AP159" s="9">
        <f t="shared" si="136"/>
        <v>1</v>
      </c>
      <c r="AQ159" s="9">
        <f t="shared" si="137"/>
        <v>1</v>
      </c>
    </row>
    <row r="160">
      <c r="A160">
        <v>907</v>
      </c>
      <c r="B160" s="1" t="s">
        <v>313</v>
      </c>
      <c r="C160">
        <v>0</v>
      </c>
      <c r="D160">
        <v>0</v>
      </c>
      <c r="E160">
        <v>0</v>
      </c>
      <c r="F160" s="12">
        <f t="shared" si="112"/>
        <v>0</v>
      </c>
      <c r="G160" s="9">
        <f t="shared" si="138"/>
        <v>0</v>
      </c>
      <c r="H160" s="9">
        <f t="shared" si="113"/>
        <v>0</v>
      </c>
      <c r="I160" s="9">
        <f t="shared" si="114"/>
        <v>0</v>
      </c>
      <c r="J160" s="9">
        <f t="shared" si="115"/>
        <v>0</v>
      </c>
      <c r="K160">
        <v>0</v>
      </c>
      <c r="L160">
        <v>0</v>
      </c>
      <c r="M160">
        <v>0</v>
      </c>
      <c r="N160" s="12">
        <f t="shared" si="116"/>
        <v>0</v>
      </c>
      <c r="O160" s="9">
        <f t="shared" si="139"/>
        <v>0</v>
      </c>
      <c r="P160" s="9">
        <f t="shared" si="117"/>
        <v>0</v>
      </c>
      <c r="Q160" s="9">
        <f t="shared" si="118"/>
        <v>0</v>
      </c>
      <c r="R160" s="9">
        <f t="shared" si="119"/>
        <v>0</v>
      </c>
      <c r="S160">
        <v>0</v>
      </c>
      <c r="T160">
        <v>0</v>
      </c>
      <c r="U160">
        <v>0</v>
      </c>
      <c r="V160" s="12">
        <f t="shared" si="120"/>
        <v>0</v>
      </c>
      <c r="W160" s="9">
        <f t="shared" si="140"/>
        <v>0</v>
      </c>
      <c r="X160" s="9">
        <f t="shared" si="121"/>
        <v>0</v>
      </c>
      <c r="Y160" s="9">
        <f t="shared" si="122"/>
        <v>0</v>
      </c>
      <c r="Z160" s="9">
        <f t="shared" si="123"/>
        <v>0</v>
      </c>
      <c r="AA160">
        <v>0</v>
      </c>
      <c r="AB160">
        <v>0</v>
      </c>
      <c r="AC160">
        <v>0</v>
      </c>
      <c r="AD160" s="12">
        <f t="shared" si="124"/>
        <v>0</v>
      </c>
      <c r="AE160" s="9">
        <f t="shared" si="125"/>
        <v>0</v>
      </c>
      <c r="AF160" s="9">
        <f t="shared" si="126"/>
        <v>0</v>
      </c>
      <c r="AG160" s="9">
        <f t="shared" si="127"/>
        <v>0</v>
      </c>
      <c r="AH160" s="9">
        <f t="shared" si="128"/>
        <v>0</v>
      </c>
      <c r="AI160" s="15">
        <f t="shared" si="129"/>
        <v>0</v>
      </c>
      <c r="AJ160" s="15">
        <f t="shared" si="130"/>
        <v>0</v>
      </c>
      <c r="AK160" s="15">
        <f t="shared" si="131"/>
        <v>0</v>
      </c>
      <c r="AL160" s="12">
        <f t="shared" si="132"/>
        <v>0</v>
      </c>
      <c r="AM160" s="12">
        <f t="shared" si="133"/>
        <v>0</v>
      </c>
      <c r="AN160" s="9">
        <f t="shared" si="134"/>
        <v>0</v>
      </c>
      <c r="AO160" s="9">
        <f t="shared" si="135"/>
        <v>0</v>
      </c>
      <c r="AP160" s="9">
        <f t="shared" si="136"/>
        <v>0</v>
      </c>
      <c r="AQ160" s="9">
        <f t="shared" si="137"/>
        <v>0</v>
      </c>
    </row>
    <row r="161">
      <c r="A161">
        <v>921</v>
      </c>
      <c r="B161" s="1" t="s">
        <v>314</v>
      </c>
      <c r="C161">
        <v>0</v>
      </c>
      <c r="D161">
        <v>0</v>
      </c>
      <c r="E161">
        <v>0</v>
      </c>
      <c r="F161" s="12">
        <f t="shared" si="112"/>
        <v>0</v>
      </c>
      <c r="G161" s="9">
        <f t="shared" si="138"/>
        <v>0</v>
      </c>
      <c r="H161" s="9">
        <f t="shared" si="113"/>
        <v>0</v>
      </c>
      <c r="I161" s="9">
        <f t="shared" si="114"/>
        <v>0</v>
      </c>
      <c r="J161" s="9">
        <f t="shared" si="115"/>
        <v>0</v>
      </c>
      <c r="K161">
        <v>0</v>
      </c>
      <c r="L161">
        <v>0</v>
      </c>
      <c r="M161">
        <v>0</v>
      </c>
      <c r="N161" s="12">
        <f t="shared" si="116"/>
        <v>0</v>
      </c>
      <c r="O161" s="9">
        <f t="shared" si="139"/>
        <v>0</v>
      </c>
      <c r="P161" s="9">
        <f t="shared" si="117"/>
        <v>0</v>
      </c>
      <c r="Q161" s="9">
        <f t="shared" si="118"/>
        <v>0</v>
      </c>
      <c r="R161" s="9">
        <f t="shared" si="119"/>
        <v>0</v>
      </c>
      <c r="S161">
        <v>0</v>
      </c>
      <c r="T161">
        <v>0</v>
      </c>
      <c r="U161">
        <v>0</v>
      </c>
      <c r="V161" s="12">
        <f t="shared" si="120"/>
        <v>0</v>
      </c>
      <c r="W161" s="9">
        <f t="shared" si="140"/>
        <v>0</v>
      </c>
      <c r="X161" s="9">
        <f t="shared" si="121"/>
        <v>0</v>
      </c>
      <c r="Y161" s="9">
        <f t="shared" si="122"/>
        <v>0</v>
      </c>
      <c r="Z161" s="9">
        <f t="shared" si="123"/>
        <v>0</v>
      </c>
      <c r="AA161">
        <v>0</v>
      </c>
      <c r="AB161">
        <v>0</v>
      </c>
      <c r="AC161">
        <v>0</v>
      </c>
      <c r="AD161" s="12">
        <f t="shared" si="124"/>
        <v>0</v>
      </c>
      <c r="AE161" s="9">
        <f t="shared" si="125"/>
        <v>0</v>
      </c>
      <c r="AF161" s="9">
        <f t="shared" si="126"/>
        <v>0</v>
      </c>
      <c r="AG161" s="9">
        <f t="shared" si="127"/>
        <v>0</v>
      </c>
      <c r="AH161" s="9">
        <f t="shared" si="128"/>
        <v>0</v>
      </c>
      <c r="AI161" s="15">
        <f t="shared" si="129"/>
        <v>0</v>
      </c>
      <c r="AJ161" s="15">
        <f t="shared" si="130"/>
        <v>0</v>
      </c>
      <c r="AK161" s="15">
        <f t="shared" si="131"/>
        <v>0</v>
      </c>
      <c r="AL161" s="12">
        <f t="shared" si="132"/>
        <v>0</v>
      </c>
      <c r="AM161" s="12">
        <f t="shared" si="133"/>
        <v>0</v>
      </c>
      <c r="AN161" s="9">
        <f t="shared" si="134"/>
        <v>0</v>
      </c>
      <c r="AO161" s="9">
        <f t="shared" si="135"/>
        <v>0</v>
      </c>
      <c r="AP161" s="9">
        <f t="shared" si="136"/>
        <v>0</v>
      </c>
      <c r="AQ161" s="9">
        <f t="shared" si="137"/>
        <v>0</v>
      </c>
    </row>
    <row r="162">
      <c r="A162">
        <v>931</v>
      </c>
      <c r="B162" s="1" t="s">
        <v>316</v>
      </c>
      <c r="C162">
        <v>0</v>
      </c>
      <c r="D162">
        <v>0</v>
      </c>
      <c r="E162">
        <v>0</v>
      </c>
      <c r="F162" s="12">
        <f t="shared" si="112"/>
        <v>0</v>
      </c>
      <c r="G162" s="9">
        <f t="shared" si="138"/>
        <v>0</v>
      </c>
      <c r="H162" s="9">
        <f t="shared" si="113"/>
        <v>0</v>
      </c>
      <c r="I162" s="9">
        <f t="shared" si="114"/>
        <v>0</v>
      </c>
      <c r="J162" s="9">
        <f t="shared" si="115"/>
        <v>0</v>
      </c>
      <c r="K162">
        <v>0</v>
      </c>
      <c r="L162">
        <v>0</v>
      </c>
      <c r="M162">
        <v>0</v>
      </c>
      <c r="N162" s="12">
        <f t="shared" si="116"/>
        <v>0</v>
      </c>
      <c r="O162" s="9">
        <f t="shared" si="139"/>
        <v>0</v>
      </c>
      <c r="P162" s="9">
        <f t="shared" si="117"/>
        <v>0</v>
      </c>
      <c r="Q162" s="9">
        <f t="shared" si="118"/>
        <v>0</v>
      </c>
      <c r="R162" s="9">
        <f t="shared" si="119"/>
        <v>0</v>
      </c>
      <c r="S162">
        <v>0</v>
      </c>
      <c r="T162">
        <v>0</v>
      </c>
      <c r="U162">
        <v>0</v>
      </c>
      <c r="V162" s="12">
        <f t="shared" si="120"/>
        <v>0</v>
      </c>
      <c r="W162" s="9">
        <f t="shared" si="140"/>
        <v>0</v>
      </c>
      <c r="X162" s="9">
        <f t="shared" si="121"/>
        <v>0</v>
      </c>
      <c r="Y162" s="9">
        <f t="shared" si="122"/>
        <v>0</v>
      </c>
      <c r="Z162" s="9">
        <f t="shared" si="123"/>
        <v>0</v>
      </c>
      <c r="AA162">
        <v>0</v>
      </c>
      <c r="AB162">
        <v>0</v>
      </c>
      <c r="AC162">
        <v>0</v>
      </c>
      <c r="AD162" s="12">
        <f t="shared" si="124"/>
        <v>0</v>
      </c>
      <c r="AE162" s="9">
        <f t="shared" si="125"/>
        <v>0</v>
      </c>
      <c r="AF162" s="9">
        <f t="shared" si="126"/>
        <v>0</v>
      </c>
      <c r="AG162" s="9">
        <f t="shared" si="127"/>
        <v>0</v>
      </c>
      <c r="AH162" s="9">
        <f t="shared" si="128"/>
        <v>0</v>
      </c>
      <c r="AI162" s="15">
        <f t="shared" si="129"/>
        <v>0</v>
      </c>
      <c r="AJ162" s="15">
        <f t="shared" si="130"/>
        <v>0</v>
      </c>
      <c r="AK162" s="15">
        <f t="shared" si="131"/>
        <v>0</v>
      </c>
      <c r="AL162" s="12">
        <f t="shared" si="132"/>
        <v>0</v>
      </c>
      <c r="AM162" s="12">
        <f t="shared" si="133"/>
        <v>0</v>
      </c>
      <c r="AN162" s="9">
        <f t="shared" si="134"/>
        <v>0</v>
      </c>
      <c r="AO162" s="9">
        <f t="shared" si="135"/>
        <v>0</v>
      </c>
      <c r="AP162" s="9">
        <f t="shared" si="136"/>
        <v>0</v>
      </c>
      <c r="AQ162" s="9">
        <f t="shared" si="137"/>
        <v>0</v>
      </c>
    </row>
    <row r="163">
      <c r="A163">
        <v>937</v>
      </c>
      <c r="B163" s="1" t="s">
        <v>317</v>
      </c>
      <c r="C163">
        <v>0</v>
      </c>
      <c r="D163">
        <v>0</v>
      </c>
      <c r="E163">
        <v>0</v>
      </c>
      <c r="F163" s="12">
        <f t="shared" si="112"/>
        <v>0</v>
      </c>
      <c r="G163" s="9">
        <f t="shared" si="138"/>
        <v>0</v>
      </c>
      <c r="H163" s="9">
        <f t="shared" si="113"/>
        <v>0</v>
      </c>
      <c r="I163" s="9">
        <f t="shared" si="114"/>
        <v>0</v>
      </c>
      <c r="J163" s="9">
        <f t="shared" si="115"/>
        <v>0</v>
      </c>
      <c r="K163">
        <v>0</v>
      </c>
      <c r="L163">
        <v>0</v>
      </c>
      <c r="M163">
        <v>0</v>
      </c>
      <c r="N163" s="12">
        <f t="shared" si="116"/>
        <v>0</v>
      </c>
      <c r="O163" s="9">
        <f t="shared" si="139"/>
        <v>0</v>
      </c>
      <c r="P163" s="9">
        <f t="shared" si="117"/>
        <v>0</v>
      </c>
      <c r="Q163" s="9">
        <f t="shared" si="118"/>
        <v>0</v>
      </c>
      <c r="R163" s="9">
        <f t="shared" si="119"/>
        <v>0</v>
      </c>
      <c r="S163">
        <v>0</v>
      </c>
      <c r="T163">
        <v>0</v>
      </c>
      <c r="U163">
        <v>0</v>
      </c>
      <c r="V163" s="12">
        <f t="shared" si="120"/>
        <v>0</v>
      </c>
      <c r="W163" s="9">
        <f t="shared" si="140"/>
        <v>0</v>
      </c>
      <c r="X163" s="9">
        <f t="shared" si="121"/>
        <v>0</v>
      </c>
      <c r="Y163" s="9">
        <f t="shared" si="122"/>
        <v>0</v>
      </c>
      <c r="Z163" s="9">
        <f t="shared" si="123"/>
        <v>0</v>
      </c>
      <c r="AA163">
        <v>0</v>
      </c>
      <c r="AB163">
        <v>1</v>
      </c>
      <c r="AC163">
        <v>1</v>
      </c>
      <c r="AD163" s="12">
        <f t="shared" si="124"/>
        <v>1</v>
      </c>
      <c r="AE163" s="9">
        <f t="shared" si="125"/>
        <v>2</v>
      </c>
      <c r="AF163" s="9">
        <f t="shared" si="126"/>
        <v>1</v>
      </c>
      <c r="AG163" s="9">
        <f t="shared" si="127"/>
        <v>1</v>
      </c>
      <c r="AH163" s="9">
        <f t="shared" si="128"/>
        <v>2</v>
      </c>
      <c r="AI163" s="15">
        <f t="shared" si="129"/>
        <v>0</v>
      </c>
      <c r="AJ163" s="15">
        <f t="shared" si="130"/>
        <v>1</v>
      </c>
      <c r="AK163" s="15">
        <f t="shared" si="131"/>
        <v>1</v>
      </c>
      <c r="AL163" s="12">
        <f t="shared" si="132"/>
        <v>1</v>
      </c>
      <c r="AM163" s="12">
        <f t="shared" si="133"/>
        <v>1</v>
      </c>
      <c r="AN163" s="9">
        <f t="shared" si="134"/>
        <v>2</v>
      </c>
      <c r="AO163" s="9">
        <f t="shared" si="135"/>
        <v>1</v>
      </c>
      <c r="AP163" s="9">
        <f t="shared" si="136"/>
        <v>1</v>
      </c>
      <c r="AQ163" s="9">
        <f t="shared" si="137"/>
        <v>2</v>
      </c>
    </row>
    <row r="164">
      <c r="A164">
        <v>944</v>
      </c>
      <c r="B164" s="1" t="s">
        <v>318</v>
      </c>
      <c r="C164">
        <v>0</v>
      </c>
      <c r="D164">
        <v>0</v>
      </c>
      <c r="E164">
        <v>0</v>
      </c>
      <c r="F164" s="12">
        <f t="shared" si="112"/>
        <v>0</v>
      </c>
      <c r="G164" s="9">
        <f t="shared" si="138"/>
        <v>0</v>
      </c>
      <c r="H164" s="9">
        <f t="shared" si="113"/>
        <v>0</v>
      </c>
      <c r="I164" s="9">
        <f t="shared" si="114"/>
        <v>0</v>
      </c>
      <c r="J164" s="9">
        <f t="shared" si="115"/>
        <v>0</v>
      </c>
      <c r="K164">
        <v>0</v>
      </c>
      <c r="L164">
        <v>0</v>
      </c>
      <c r="M164">
        <v>0</v>
      </c>
      <c r="N164" s="12">
        <f t="shared" si="116"/>
        <v>0</v>
      </c>
      <c r="O164" s="9">
        <f t="shared" si="139"/>
        <v>0</v>
      </c>
      <c r="P164" s="9">
        <f t="shared" si="117"/>
        <v>0</v>
      </c>
      <c r="Q164" s="9">
        <f t="shared" si="118"/>
        <v>0</v>
      </c>
      <c r="R164" s="9">
        <f t="shared" si="119"/>
        <v>0</v>
      </c>
      <c r="S164">
        <v>0</v>
      </c>
      <c r="T164">
        <v>0</v>
      </c>
      <c r="U164">
        <v>0</v>
      </c>
      <c r="V164" s="12">
        <f t="shared" si="120"/>
        <v>0</v>
      </c>
      <c r="W164" s="9">
        <f t="shared" si="140"/>
        <v>0</v>
      </c>
      <c r="X164" s="9">
        <f t="shared" si="121"/>
        <v>0</v>
      </c>
      <c r="Y164" s="9">
        <f t="shared" si="122"/>
        <v>0</v>
      </c>
      <c r="Z164" s="9">
        <f t="shared" si="123"/>
        <v>0</v>
      </c>
      <c r="AA164">
        <v>0</v>
      </c>
      <c r="AB164">
        <v>0</v>
      </c>
      <c r="AC164">
        <v>0</v>
      </c>
      <c r="AD164" s="12">
        <f t="shared" si="124"/>
        <v>0</v>
      </c>
      <c r="AE164" s="9">
        <f t="shared" si="125"/>
        <v>0</v>
      </c>
      <c r="AF164" s="9">
        <f t="shared" si="126"/>
        <v>0</v>
      </c>
      <c r="AG164" s="9">
        <f t="shared" si="127"/>
        <v>0</v>
      </c>
      <c r="AH164" s="9">
        <f t="shared" si="128"/>
        <v>0</v>
      </c>
      <c r="AI164" s="15">
        <f t="shared" si="129"/>
        <v>0</v>
      </c>
      <c r="AJ164" s="15">
        <f t="shared" si="130"/>
        <v>0</v>
      </c>
      <c r="AK164" s="15">
        <f t="shared" si="131"/>
        <v>0</v>
      </c>
      <c r="AL164" s="12">
        <f t="shared" si="132"/>
        <v>0</v>
      </c>
      <c r="AM164" s="12">
        <f t="shared" si="133"/>
        <v>0</v>
      </c>
      <c r="AN164" s="9">
        <f t="shared" si="134"/>
        <v>0</v>
      </c>
      <c r="AO164" s="9">
        <f t="shared" si="135"/>
        <v>0</v>
      </c>
      <c r="AP164" s="9">
        <f t="shared" si="136"/>
        <v>0</v>
      </c>
      <c r="AQ164" s="9">
        <f t="shared" si="137"/>
        <v>0</v>
      </c>
    </row>
    <row r="165">
      <c r="A165">
        <v>954</v>
      </c>
      <c r="B165" s="1" t="s">
        <v>319</v>
      </c>
      <c r="C165">
        <v>0</v>
      </c>
      <c r="D165">
        <v>0</v>
      </c>
      <c r="E165">
        <v>0</v>
      </c>
      <c r="F165" s="12">
        <f t="shared" si="112"/>
        <v>0</v>
      </c>
      <c r="G165" s="9">
        <f t="shared" si="138"/>
        <v>0</v>
      </c>
      <c r="H165" s="9">
        <f t="shared" si="113"/>
        <v>0</v>
      </c>
      <c r="I165" s="9">
        <f t="shared" si="114"/>
        <v>0</v>
      </c>
      <c r="J165" s="9">
        <f t="shared" si="115"/>
        <v>0</v>
      </c>
      <c r="K165">
        <v>0</v>
      </c>
      <c r="L165">
        <v>0</v>
      </c>
      <c r="M165">
        <v>0</v>
      </c>
      <c r="N165" s="12">
        <f t="shared" si="116"/>
        <v>0</v>
      </c>
      <c r="O165" s="9">
        <f t="shared" si="139"/>
        <v>0</v>
      </c>
      <c r="P165" s="9">
        <f t="shared" si="117"/>
        <v>0</v>
      </c>
      <c r="Q165" s="9">
        <f t="shared" si="118"/>
        <v>0</v>
      </c>
      <c r="R165" s="9">
        <f t="shared" si="119"/>
        <v>0</v>
      </c>
      <c r="S165">
        <v>0</v>
      </c>
      <c r="T165">
        <v>0</v>
      </c>
      <c r="U165">
        <v>0</v>
      </c>
      <c r="V165" s="12">
        <f t="shared" si="120"/>
        <v>0</v>
      </c>
      <c r="W165" s="9">
        <f t="shared" si="140"/>
        <v>0</v>
      </c>
      <c r="X165" s="9">
        <f t="shared" si="121"/>
        <v>0</v>
      </c>
      <c r="Y165" s="9">
        <f t="shared" si="122"/>
        <v>0</v>
      </c>
      <c r="Z165" s="9">
        <f t="shared" si="123"/>
        <v>0</v>
      </c>
      <c r="AA165">
        <v>1</v>
      </c>
      <c r="AB165">
        <v>1</v>
      </c>
      <c r="AC165">
        <v>0</v>
      </c>
      <c r="AD165" s="12">
        <f t="shared" si="124"/>
        <v>1</v>
      </c>
      <c r="AE165" s="9">
        <f t="shared" si="125"/>
        <v>2</v>
      </c>
      <c r="AF165" s="9">
        <f t="shared" si="126"/>
        <v>2</v>
      </c>
      <c r="AG165" s="9">
        <f t="shared" si="127"/>
        <v>1</v>
      </c>
      <c r="AH165" s="9">
        <f t="shared" si="128"/>
        <v>1</v>
      </c>
      <c r="AI165" s="15">
        <f t="shared" si="129"/>
        <v>1</v>
      </c>
      <c r="AJ165" s="15">
        <f t="shared" si="130"/>
        <v>1</v>
      </c>
      <c r="AK165" s="15">
        <f t="shared" si="131"/>
        <v>0</v>
      </c>
      <c r="AL165" s="12">
        <f t="shared" si="132"/>
        <v>1</v>
      </c>
      <c r="AM165" s="12">
        <f t="shared" si="133"/>
        <v>1</v>
      </c>
      <c r="AN165" s="9">
        <f t="shared" si="134"/>
        <v>2</v>
      </c>
      <c r="AO165" s="9">
        <f t="shared" si="135"/>
        <v>2</v>
      </c>
      <c r="AP165" s="9">
        <f t="shared" si="136"/>
        <v>1</v>
      </c>
      <c r="AQ165" s="9">
        <f t="shared" si="137"/>
        <v>1</v>
      </c>
    </row>
    <row r="166">
      <c r="A166">
        <v>960</v>
      </c>
      <c r="B166" s="1" t="s">
        <v>320</v>
      </c>
      <c r="C166">
        <v>0</v>
      </c>
      <c r="D166">
        <v>0</v>
      </c>
      <c r="E166">
        <v>0</v>
      </c>
      <c r="F166" s="12">
        <f t="shared" si="112"/>
        <v>0</v>
      </c>
      <c r="G166" s="9">
        <f t="shared" si="138"/>
        <v>0</v>
      </c>
      <c r="H166" s="9">
        <f t="shared" si="113"/>
        <v>0</v>
      </c>
      <c r="I166" s="9">
        <f t="shared" si="114"/>
        <v>0</v>
      </c>
      <c r="J166" s="9">
        <f t="shared" si="115"/>
        <v>0</v>
      </c>
      <c r="K166">
        <v>0</v>
      </c>
      <c r="L166">
        <v>0</v>
      </c>
      <c r="M166">
        <v>0</v>
      </c>
      <c r="N166" s="12">
        <f t="shared" si="116"/>
        <v>0</v>
      </c>
      <c r="O166" s="9">
        <f t="shared" si="139"/>
        <v>0</v>
      </c>
      <c r="P166" s="9">
        <f t="shared" si="117"/>
        <v>0</v>
      </c>
      <c r="Q166" s="9">
        <f t="shared" si="118"/>
        <v>0</v>
      </c>
      <c r="R166" s="9">
        <f t="shared" si="119"/>
        <v>0</v>
      </c>
      <c r="S166">
        <v>1</v>
      </c>
      <c r="T166">
        <v>1</v>
      </c>
      <c r="U166">
        <v>0</v>
      </c>
      <c r="V166" s="12">
        <f t="shared" si="120"/>
        <v>1</v>
      </c>
      <c r="W166" s="9">
        <f t="shared" si="140"/>
        <v>2</v>
      </c>
      <c r="X166" s="9">
        <f t="shared" si="121"/>
        <v>2</v>
      </c>
      <c r="Y166" s="9">
        <f t="shared" si="122"/>
        <v>1</v>
      </c>
      <c r="Z166" s="9">
        <f t="shared" si="123"/>
        <v>1</v>
      </c>
      <c r="AA166">
        <v>0</v>
      </c>
      <c r="AB166">
        <v>0</v>
      </c>
      <c r="AC166">
        <v>0</v>
      </c>
      <c r="AD166" s="12">
        <f t="shared" si="124"/>
        <v>0</v>
      </c>
      <c r="AE166" s="9">
        <f t="shared" si="125"/>
        <v>0</v>
      </c>
      <c r="AF166" s="9">
        <f t="shared" si="126"/>
        <v>0</v>
      </c>
      <c r="AG166" s="9">
        <f t="shared" si="127"/>
        <v>0</v>
      </c>
      <c r="AH166" s="9">
        <f t="shared" si="128"/>
        <v>0</v>
      </c>
      <c r="AI166" s="15">
        <f t="shared" si="129"/>
        <v>1</v>
      </c>
      <c r="AJ166" s="15">
        <f t="shared" si="130"/>
        <v>1</v>
      </c>
      <c r="AK166" s="15">
        <f t="shared" si="131"/>
        <v>0</v>
      </c>
      <c r="AL166" s="12">
        <f t="shared" si="132"/>
        <v>1</v>
      </c>
      <c r="AM166" s="12">
        <f t="shared" si="133"/>
        <v>1</v>
      </c>
      <c r="AN166" s="9">
        <f t="shared" si="134"/>
        <v>2</v>
      </c>
      <c r="AO166" s="9">
        <f t="shared" si="135"/>
        <v>2</v>
      </c>
      <c r="AP166" s="9">
        <f t="shared" si="136"/>
        <v>1</v>
      </c>
      <c r="AQ166" s="9">
        <f t="shared" si="137"/>
        <v>1</v>
      </c>
    </row>
    <row r="167" ht="29.100000000000001">
      <c r="A167">
        <v>962</v>
      </c>
      <c r="B167" s="1" t="s">
        <v>321</v>
      </c>
      <c r="C167">
        <v>0</v>
      </c>
      <c r="D167">
        <v>0</v>
      </c>
      <c r="E167">
        <v>0</v>
      </c>
      <c r="F167" s="12">
        <f t="shared" si="112"/>
        <v>0</v>
      </c>
      <c r="G167" s="9">
        <f t="shared" si="138"/>
        <v>0</v>
      </c>
      <c r="H167" s="9">
        <f t="shared" si="113"/>
        <v>0</v>
      </c>
      <c r="I167" s="9">
        <f t="shared" si="114"/>
        <v>0</v>
      </c>
      <c r="J167" s="9">
        <f t="shared" si="115"/>
        <v>0</v>
      </c>
      <c r="K167">
        <v>0</v>
      </c>
      <c r="L167">
        <v>0</v>
      </c>
      <c r="M167">
        <v>0</v>
      </c>
      <c r="N167" s="12">
        <f t="shared" si="116"/>
        <v>0</v>
      </c>
      <c r="O167" s="9">
        <f t="shared" si="139"/>
        <v>0</v>
      </c>
      <c r="P167" s="9">
        <f t="shared" si="117"/>
        <v>0</v>
      </c>
      <c r="Q167" s="9">
        <f t="shared" si="118"/>
        <v>0</v>
      </c>
      <c r="R167" s="9">
        <f t="shared" si="119"/>
        <v>0</v>
      </c>
      <c r="S167">
        <v>0</v>
      </c>
      <c r="T167">
        <v>0</v>
      </c>
      <c r="U167">
        <v>0</v>
      </c>
      <c r="V167" s="12">
        <f t="shared" si="120"/>
        <v>0</v>
      </c>
      <c r="W167" s="9">
        <f t="shared" si="140"/>
        <v>0</v>
      </c>
      <c r="X167" s="9">
        <f t="shared" si="121"/>
        <v>0</v>
      </c>
      <c r="Y167" s="9">
        <f t="shared" si="122"/>
        <v>0</v>
      </c>
      <c r="Z167" s="9">
        <f t="shared" si="123"/>
        <v>0</v>
      </c>
      <c r="AA167">
        <v>1</v>
      </c>
      <c r="AB167">
        <v>1</v>
      </c>
      <c r="AC167">
        <v>0</v>
      </c>
      <c r="AD167" s="12">
        <f t="shared" si="124"/>
        <v>1</v>
      </c>
      <c r="AE167" s="9">
        <f t="shared" si="125"/>
        <v>2</v>
      </c>
      <c r="AF167" s="9">
        <f t="shared" si="126"/>
        <v>2</v>
      </c>
      <c r="AG167" s="9">
        <f t="shared" si="127"/>
        <v>1</v>
      </c>
      <c r="AH167" s="9">
        <f t="shared" si="128"/>
        <v>1</v>
      </c>
      <c r="AI167" s="15">
        <f t="shared" si="129"/>
        <v>1</v>
      </c>
      <c r="AJ167" s="15">
        <f t="shared" si="130"/>
        <v>1</v>
      </c>
      <c r="AK167" s="15">
        <f t="shared" si="131"/>
        <v>0</v>
      </c>
      <c r="AL167" s="12">
        <f t="shared" si="132"/>
        <v>1</v>
      </c>
      <c r="AM167" s="12">
        <f t="shared" si="133"/>
        <v>1</v>
      </c>
      <c r="AN167" s="9">
        <f t="shared" si="134"/>
        <v>2</v>
      </c>
      <c r="AO167" s="9">
        <f t="shared" si="135"/>
        <v>2</v>
      </c>
      <c r="AP167" s="9">
        <f t="shared" si="136"/>
        <v>1</v>
      </c>
      <c r="AQ167" s="9">
        <f t="shared" si="137"/>
        <v>1</v>
      </c>
    </row>
    <row r="168">
      <c r="A168">
        <v>968</v>
      </c>
      <c r="B168" s="1" t="s">
        <v>322</v>
      </c>
      <c r="C168">
        <v>0</v>
      </c>
      <c r="D168">
        <v>0</v>
      </c>
      <c r="E168">
        <v>0</v>
      </c>
      <c r="F168" s="12">
        <f t="shared" si="112"/>
        <v>0</v>
      </c>
      <c r="G168" s="9">
        <f t="shared" si="138"/>
        <v>0</v>
      </c>
      <c r="H168" s="9">
        <f t="shared" si="113"/>
        <v>0</v>
      </c>
      <c r="I168" s="9">
        <f t="shared" si="114"/>
        <v>0</v>
      </c>
      <c r="J168" s="9">
        <f t="shared" si="115"/>
        <v>0</v>
      </c>
      <c r="K168">
        <v>0</v>
      </c>
      <c r="L168">
        <v>0</v>
      </c>
      <c r="M168">
        <v>0</v>
      </c>
      <c r="N168" s="12">
        <f t="shared" si="116"/>
        <v>0</v>
      </c>
      <c r="O168" s="9">
        <f t="shared" si="139"/>
        <v>0</v>
      </c>
      <c r="P168" s="9">
        <f t="shared" si="117"/>
        <v>0</v>
      </c>
      <c r="Q168" s="9">
        <f t="shared" si="118"/>
        <v>0</v>
      </c>
      <c r="R168" s="9">
        <f t="shared" si="119"/>
        <v>0</v>
      </c>
      <c r="S168">
        <v>0</v>
      </c>
      <c r="T168">
        <v>1</v>
      </c>
      <c r="U168">
        <v>0</v>
      </c>
      <c r="V168" s="12">
        <f t="shared" si="120"/>
        <v>0</v>
      </c>
      <c r="W168" s="9">
        <f t="shared" si="140"/>
        <v>1</v>
      </c>
      <c r="X168" s="9">
        <f t="shared" si="121"/>
        <v>1</v>
      </c>
      <c r="Y168" s="9">
        <f t="shared" si="122"/>
        <v>0</v>
      </c>
      <c r="Z168" s="9">
        <f t="shared" si="123"/>
        <v>1</v>
      </c>
      <c r="AA168">
        <v>0</v>
      </c>
      <c r="AB168">
        <v>0</v>
      </c>
      <c r="AC168">
        <v>0</v>
      </c>
      <c r="AD168" s="12">
        <f t="shared" si="124"/>
        <v>0</v>
      </c>
      <c r="AE168" s="9">
        <f t="shared" si="125"/>
        <v>0</v>
      </c>
      <c r="AF168" s="9">
        <f t="shared" si="126"/>
        <v>0</v>
      </c>
      <c r="AG168" s="9">
        <f t="shared" si="127"/>
        <v>0</v>
      </c>
      <c r="AH168" s="9">
        <f t="shared" si="128"/>
        <v>0</v>
      </c>
      <c r="AI168" s="15">
        <f t="shared" si="129"/>
        <v>0</v>
      </c>
      <c r="AJ168" s="15">
        <f t="shared" si="130"/>
        <v>1</v>
      </c>
      <c r="AK168" s="15">
        <f t="shared" si="131"/>
        <v>0</v>
      </c>
      <c r="AL168" s="12">
        <f t="shared" si="132"/>
        <v>0</v>
      </c>
      <c r="AM168" s="12">
        <f t="shared" si="133"/>
        <v>0</v>
      </c>
      <c r="AN168" s="9">
        <f t="shared" si="134"/>
        <v>1</v>
      </c>
      <c r="AO168" s="9">
        <f t="shared" si="135"/>
        <v>1</v>
      </c>
      <c r="AP168" s="9">
        <f t="shared" si="136"/>
        <v>0</v>
      </c>
      <c r="AQ168" s="9">
        <f t="shared" si="137"/>
        <v>1</v>
      </c>
    </row>
    <row r="169">
      <c r="A169">
        <v>969</v>
      </c>
      <c r="B169" s="1" t="s">
        <v>323</v>
      </c>
      <c r="C169">
        <v>0</v>
      </c>
      <c r="D169">
        <v>0</v>
      </c>
      <c r="E169">
        <v>0</v>
      </c>
      <c r="F169" s="12">
        <f t="shared" si="112"/>
        <v>0</v>
      </c>
      <c r="G169" s="9">
        <f t="shared" si="138"/>
        <v>0</v>
      </c>
      <c r="H169" s="9">
        <f t="shared" si="113"/>
        <v>0</v>
      </c>
      <c r="I169" s="9">
        <f t="shared" si="114"/>
        <v>0</v>
      </c>
      <c r="J169" s="9">
        <f t="shared" si="115"/>
        <v>0</v>
      </c>
      <c r="K169">
        <v>0</v>
      </c>
      <c r="L169">
        <v>0</v>
      </c>
      <c r="M169">
        <v>0</v>
      </c>
      <c r="N169" s="12">
        <f t="shared" si="116"/>
        <v>0</v>
      </c>
      <c r="O169" s="9">
        <f t="shared" si="139"/>
        <v>0</v>
      </c>
      <c r="P169" s="9">
        <f t="shared" si="117"/>
        <v>0</v>
      </c>
      <c r="Q169" s="9">
        <f t="shared" si="118"/>
        <v>0</v>
      </c>
      <c r="R169" s="9">
        <f t="shared" si="119"/>
        <v>0</v>
      </c>
      <c r="S169">
        <v>0</v>
      </c>
      <c r="T169">
        <v>0</v>
      </c>
      <c r="U169">
        <v>0</v>
      </c>
      <c r="V169" s="12">
        <f t="shared" si="120"/>
        <v>0</v>
      </c>
      <c r="W169" s="9">
        <f t="shared" si="140"/>
        <v>0</v>
      </c>
      <c r="X169" s="9">
        <f t="shared" si="121"/>
        <v>0</v>
      </c>
      <c r="Y169" s="9">
        <f t="shared" si="122"/>
        <v>0</v>
      </c>
      <c r="Z169" s="9">
        <f t="shared" si="123"/>
        <v>0</v>
      </c>
      <c r="AA169">
        <v>0</v>
      </c>
      <c r="AB169">
        <v>0</v>
      </c>
      <c r="AC169">
        <v>0</v>
      </c>
      <c r="AD169" s="12">
        <f t="shared" si="124"/>
        <v>0</v>
      </c>
      <c r="AE169" s="9">
        <f t="shared" si="125"/>
        <v>0</v>
      </c>
      <c r="AF169" s="9">
        <f t="shared" si="126"/>
        <v>0</v>
      </c>
      <c r="AG169" s="9">
        <f t="shared" si="127"/>
        <v>0</v>
      </c>
      <c r="AH169" s="9">
        <f t="shared" si="128"/>
        <v>0</v>
      </c>
      <c r="AI169" s="15">
        <f t="shared" si="129"/>
        <v>0</v>
      </c>
      <c r="AJ169" s="15">
        <f t="shared" si="130"/>
        <v>0</v>
      </c>
      <c r="AK169" s="15">
        <f t="shared" si="131"/>
        <v>0</v>
      </c>
      <c r="AL169" s="12">
        <f t="shared" si="132"/>
        <v>0</v>
      </c>
      <c r="AM169" s="12">
        <f t="shared" si="133"/>
        <v>0</v>
      </c>
      <c r="AN169" s="9">
        <f t="shared" si="134"/>
        <v>0</v>
      </c>
      <c r="AO169" s="9">
        <f t="shared" si="135"/>
        <v>0</v>
      </c>
      <c r="AP169" s="9">
        <f t="shared" si="136"/>
        <v>0</v>
      </c>
      <c r="AQ169" s="9">
        <f t="shared" si="137"/>
        <v>0</v>
      </c>
    </row>
    <row r="170">
      <c r="A170">
        <v>1002</v>
      </c>
      <c r="B170" s="1" t="s">
        <v>325</v>
      </c>
      <c r="C170">
        <v>0</v>
      </c>
      <c r="D170">
        <v>0</v>
      </c>
      <c r="E170">
        <v>0</v>
      </c>
      <c r="F170" s="12">
        <f t="shared" si="112"/>
        <v>0</v>
      </c>
      <c r="G170" s="9">
        <f t="shared" si="138"/>
        <v>0</v>
      </c>
      <c r="H170" s="9">
        <f t="shared" si="113"/>
        <v>0</v>
      </c>
      <c r="I170" s="9">
        <f t="shared" si="114"/>
        <v>0</v>
      </c>
      <c r="J170" s="9">
        <f t="shared" si="115"/>
        <v>0</v>
      </c>
      <c r="K170">
        <v>0</v>
      </c>
      <c r="L170">
        <v>0</v>
      </c>
      <c r="M170">
        <v>0</v>
      </c>
      <c r="N170" s="12">
        <f t="shared" si="116"/>
        <v>0</v>
      </c>
      <c r="O170" s="9">
        <f t="shared" si="139"/>
        <v>0</v>
      </c>
      <c r="P170" s="9">
        <f t="shared" si="117"/>
        <v>0</v>
      </c>
      <c r="Q170" s="9">
        <f t="shared" si="118"/>
        <v>0</v>
      </c>
      <c r="R170" s="9">
        <f t="shared" si="119"/>
        <v>0</v>
      </c>
      <c r="S170">
        <v>0</v>
      </c>
      <c r="T170">
        <v>0</v>
      </c>
      <c r="U170">
        <v>0</v>
      </c>
      <c r="V170" s="12">
        <f t="shared" si="120"/>
        <v>0</v>
      </c>
      <c r="W170" s="9">
        <f t="shared" si="140"/>
        <v>0</v>
      </c>
      <c r="X170" s="9">
        <f t="shared" si="121"/>
        <v>0</v>
      </c>
      <c r="Y170" s="9">
        <f t="shared" si="122"/>
        <v>0</v>
      </c>
      <c r="Z170" s="9">
        <f t="shared" si="123"/>
        <v>0</v>
      </c>
      <c r="AA170">
        <v>0</v>
      </c>
      <c r="AB170">
        <v>0</v>
      </c>
      <c r="AC170">
        <v>0</v>
      </c>
      <c r="AD170" s="12">
        <f t="shared" si="124"/>
        <v>0</v>
      </c>
      <c r="AE170" s="9">
        <f t="shared" si="125"/>
        <v>0</v>
      </c>
      <c r="AF170" s="9">
        <f t="shared" si="126"/>
        <v>0</v>
      </c>
      <c r="AG170" s="9">
        <f t="shared" si="127"/>
        <v>0</v>
      </c>
      <c r="AH170" s="9">
        <f t="shared" si="128"/>
        <v>0</v>
      </c>
      <c r="AI170" s="15">
        <f t="shared" si="129"/>
        <v>0</v>
      </c>
      <c r="AJ170" s="15">
        <f t="shared" si="130"/>
        <v>0</v>
      </c>
      <c r="AK170" s="15">
        <f t="shared" si="131"/>
        <v>0</v>
      </c>
      <c r="AL170" s="12">
        <f t="shared" si="132"/>
        <v>0</v>
      </c>
      <c r="AM170" s="12">
        <f t="shared" si="133"/>
        <v>0</v>
      </c>
      <c r="AN170" s="9">
        <f t="shared" si="134"/>
        <v>0</v>
      </c>
      <c r="AO170" s="9">
        <f t="shared" si="135"/>
        <v>0</v>
      </c>
      <c r="AP170" s="9">
        <f t="shared" si="136"/>
        <v>0</v>
      </c>
      <c r="AQ170" s="9">
        <f t="shared" si="137"/>
        <v>0</v>
      </c>
    </row>
    <row r="171">
      <c r="A171">
        <v>1004</v>
      </c>
      <c r="B171" s="1" t="s">
        <v>326</v>
      </c>
      <c r="C171">
        <v>0</v>
      </c>
      <c r="D171">
        <v>1</v>
      </c>
      <c r="E171">
        <v>0</v>
      </c>
      <c r="F171" s="12">
        <f t="shared" si="112"/>
        <v>0</v>
      </c>
      <c r="G171" s="9">
        <f t="shared" si="138"/>
        <v>1</v>
      </c>
      <c r="H171" s="9">
        <f t="shared" si="113"/>
        <v>1</v>
      </c>
      <c r="I171" s="9">
        <f t="shared" si="114"/>
        <v>0</v>
      </c>
      <c r="J171" s="9">
        <f t="shared" si="115"/>
        <v>1</v>
      </c>
      <c r="K171">
        <v>0</v>
      </c>
      <c r="L171">
        <v>0</v>
      </c>
      <c r="M171">
        <v>0</v>
      </c>
      <c r="N171" s="12">
        <f t="shared" si="116"/>
        <v>0</v>
      </c>
      <c r="O171" s="9">
        <f t="shared" si="139"/>
        <v>0</v>
      </c>
      <c r="P171" s="9">
        <f t="shared" si="117"/>
        <v>0</v>
      </c>
      <c r="Q171" s="9">
        <f t="shared" si="118"/>
        <v>0</v>
      </c>
      <c r="R171" s="9">
        <f t="shared" si="119"/>
        <v>0</v>
      </c>
      <c r="S171">
        <v>0</v>
      </c>
      <c r="T171">
        <v>0</v>
      </c>
      <c r="U171">
        <v>0</v>
      </c>
      <c r="V171" s="12">
        <f t="shared" si="120"/>
        <v>0</v>
      </c>
      <c r="W171" s="9">
        <f t="shared" si="140"/>
        <v>0</v>
      </c>
      <c r="X171" s="9">
        <f t="shared" si="121"/>
        <v>0</v>
      </c>
      <c r="Y171" s="9">
        <f t="shared" si="122"/>
        <v>0</v>
      </c>
      <c r="Z171" s="9">
        <f t="shared" si="123"/>
        <v>0</v>
      </c>
      <c r="AA171">
        <v>1</v>
      </c>
      <c r="AB171">
        <v>1</v>
      </c>
      <c r="AC171">
        <v>1</v>
      </c>
      <c r="AD171" s="12">
        <f t="shared" si="124"/>
        <v>1</v>
      </c>
      <c r="AE171" s="9">
        <f t="shared" si="125"/>
        <v>3</v>
      </c>
      <c r="AF171" s="9">
        <f t="shared" si="126"/>
        <v>2</v>
      </c>
      <c r="AG171" s="9">
        <f t="shared" si="127"/>
        <v>2</v>
      </c>
      <c r="AH171" s="9">
        <f t="shared" si="128"/>
        <v>2</v>
      </c>
      <c r="AI171" s="15">
        <f t="shared" si="129"/>
        <v>1</v>
      </c>
      <c r="AJ171" s="15">
        <f t="shared" si="130"/>
        <v>1</v>
      </c>
      <c r="AK171" s="15">
        <f t="shared" si="131"/>
        <v>1</v>
      </c>
      <c r="AL171" s="12">
        <f t="shared" si="132"/>
        <v>1</v>
      </c>
      <c r="AM171" s="12">
        <f t="shared" si="133"/>
        <v>1</v>
      </c>
      <c r="AN171" s="9">
        <f t="shared" si="134"/>
        <v>3</v>
      </c>
      <c r="AO171" s="9">
        <f t="shared" si="135"/>
        <v>2</v>
      </c>
      <c r="AP171" s="9">
        <f t="shared" si="136"/>
        <v>2</v>
      </c>
      <c r="AQ171" s="9">
        <f t="shared" si="137"/>
        <v>2</v>
      </c>
    </row>
    <row r="172">
      <c r="A172">
        <v>1006</v>
      </c>
      <c r="B172" s="1" t="s">
        <v>329</v>
      </c>
      <c r="C172">
        <v>0</v>
      </c>
      <c r="D172">
        <v>0</v>
      </c>
      <c r="E172">
        <v>0</v>
      </c>
      <c r="F172" s="12">
        <f t="shared" si="112"/>
        <v>0</v>
      </c>
      <c r="G172" s="9">
        <f t="shared" si="138"/>
        <v>0</v>
      </c>
      <c r="H172" s="9">
        <f t="shared" si="113"/>
        <v>0</v>
      </c>
      <c r="I172" s="9">
        <f t="shared" si="114"/>
        <v>0</v>
      </c>
      <c r="J172" s="9">
        <f t="shared" si="115"/>
        <v>0</v>
      </c>
      <c r="K172">
        <v>0</v>
      </c>
      <c r="L172">
        <v>0</v>
      </c>
      <c r="M172">
        <v>0</v>
      </c>
      <c r="N172" s="12">
        <f t="shared" si="116"/>
        <v>0</v>
      </c>
      <c r="O172" s="9">
        <f t="shared" si="139"/>
        <v>0</v>
      </c>
      <c r="P172" s="9">
        <f t="shared" si="117"/>
        <v>0</v>
      </c>
      <c r="Q172" s="9">
        <f t="shared" si="118"/>
        <v>0</v>
      </c>
      <c r="R172" s="9">
        <f t="shared" si="119"/>
        <v>0</v>
      </c>
      <c r="S172">
        <v>0</v>
      </c>
      <c r="T172">
        <v>0</v>
      </c>
      <c r="U172">
        <v>0</v>
      </c>
      <c r="V172" s="12">
        <f t="shared" si="120"/>
        <v>0</v>
      </c>
      <c r="W172" s="9">
        <f t="shared" si="140"/>
        <v>0</v>
      </c>
      <c r="X172" s="9">
        <f t="shared" si="121"/>
        <v>0</v>
      </c>
      <c r="Y172" s="9">
        <f t="shared" si="122"/>
        <v>0</v>
      </c>
      <c r="Z172" s="9">
        <f t="shared" si="123"/>
        <v>0</v>
      </c>
      <c r="AA172">
        <v>1</v>
      </c>
      <c r="AB172">
        <v>1</v>
      </c>
      <c r="AC172">
        <v>0</v>
      </c>
      <c r="AD172" s="12">
        <f t="shared" si="124"/>
        <v>1</v>
      </c>
      <c r="AE172" s="9">
        <f t="shared" si="125"/>
        <v>2</v>
      </c>
      <c r="AF172" s="9">
        <f t="shared" si="126"/>
        <v>2</v>
      </c>
      <c r="AG172" s="9">
        <f t="shared" si="127"/>
        <v>1</v>
      </c>
      <c r="AH172" s="9">
        <f t="shared" si="128"/>
        <v>1</v>
      </c>
      <c r="AI172" s="15">
        <f t="shared" si="129"/>
        <v>1</v>
      </c>
      <c r="AJ172" s="15">
        <f t="shared" si="130"/>
        <v>1</v>
      </c>
      <c r="AK172" s="15">
        <f t="shared" si="131"/>
        <v>0</v>
      </c>
      <c r="AL172" s="12">
        <f t="shared" si="132"/>
        <v>1</v>
      </c>
      <c r="AM172" s="12">
        <f t="shared" si="133"/>
        <v>1</v>
      </c>
      <c r="AN172" s="9">
        <f t="shared" si="134"/>
        <v>2</v>
      </c>
      <c r="AO172" s="9">
        <f t="shared" si="135"/>
        <v>2</v>
      </c>
      <c r="AP172" s="9">
        <f t="shared" si="136"/>
        <v>1</v>
      </c>
      <c r="AQ172" s="9">
        <f t="shared" si="137"/>
        <v>1</v>
      </c>
    </row>
    <row r="173">
      <c r="A173">
        <v>1025</v>
      </c>
      <c r="B173" s="1" t="s">
        <v>330</v>
      </c>
      <c r="C173">
        <v>0</v>
      </c>
      <c r="D173">
        <v>0</v>
      </c>
      <c r="E173">
        <v>0</v>
      </c>
      <c r="F173" s="12">
        <f t="shared" si="112"/>
        <v>0</v>
      </c>
      <c r="G173" s="9">
        <f t="shared" si="138"/>
        <v>0</v>
      </c>
      <c r="H173" s="9">
        <f t="shared" si="113"/>
        <v>0</v>
      </c>
      <c r="I173" s="9">
        <f t="shared" si="114"/>
        <v>0</v>
      </c>
      <c r="J173" s="9">
        <f t="shared" si="115"/>
        <v>0</v>
      </c>
      <c r="K173">
        <v>0</v>
      </c>
      <c r="L173">
        <v>0</v>
      </c>
      <c r="M173">
        <v>0</v>
      </c>
      <c r="N173" s="12">
        <f t="shared" si="116"/>
        <v>0</v>
      </c>
      <c r="O173" s="9">
        <f t="shared" si="139"/>
        <v>0</v>
      </c>
      <c r="P173" s="9">
        <f t="shared" si="117"/>
        <v>0</v>
      </c>
      <c r="Q173" s="9">
        <f t="shared" si="118"/>
        <v>0</v>
      </c>
      <c r="R173" s="9">
        <f t="shared" si="119"/>
        <v>0</v>
      </c>
      <c r="S173">
        <v>0</v>
      </c>
      <c r="T173">
        <v>1</v>
      </c>
      <c r="U173">
        <v>0</v>
      </c>
      <c r="V173" s="12">
        <f t="shared" si="120"/>
        <v>0</v>
      </c>
      <c r="W173" s="9">
        <f t="shared" si="140"/>
        <v>1</v>
      </c>
      <c r="X173" s="9">
        <f t="shared" si="121"/>
        <v>1</v>
      </c>
      <c r="Y173" s="9">
        <f t="shared" si="122"/>
        <v>0</v>
      </c>
      <c r="Z173" s="9">
        <f t="shared" si="123"/>
        <v>1</v>
      </c>
      <c r="AA173">
        <v>0</v>
      </c>
      <c r="AB173">
        <v>0</v>
      </c>
      <c r="AC173">
        <v>0</v>
      </c>
      <c r="AD173" s="12">
        <f t="shared" si="124"/>
        <v>0</v>
      </c>
      <c r="AE173" s="9">
        <f t="shared" si="125"/>
        <v>0</v>
      </c>
      <c r="AF173" s="9">
        <f t="shared" si="126"/>
        <v>0</v>
      </c>
      <c r="AG173" s="9">
        <f t="shared" si="127"/>
        <v>0</v>
      </c>
      <c r="AH173" s="9">
        <f t="shared" si="128"/>
        <v>0</v>
      </c>
      <c r="AI173" s="15">
        <f t="shared" si="129"/>
        <v>0</v>
      </c>
      <c r="AJ173" s="15">
        <f t="shared" si="130"/>
        <v>1</v>
      </c>
      <c r="AK173" s="15">
        <f t="shared" si="131"/>
        <v>0</v>
      </c>
      <c r="AL173" s="12">
        <f t="shared" si="132"/>
        <v>0</v>
      </c>
      <c r="AM173" s="12">
        <f t="shared" si="133"/>
        <v>0</v>
      </c>
      <c r="AN173" s="9">
        <f t="shared" si="134"/>
        <v>1</v>
      </c>
      <c r="AO173" s="9">
        <f t="shared" si="135"/>
        <v>1</v>
      </c>
      <c r="AP173" s="9">
        <f t="shared" si="136"/>
        <v>0</v>
      </c>
      <c r="AQ173" s="9">
        <f t="shared" si="137"/>
        <v>1</v>
      </c>
    </row>
    <row r="174">
      <c r="A174">
        <v>1033</v>
      </c>
      <c r="B174" s="1" t="s">
        <v>332</v>
      </c>
      <c r="C174">
        <v>1</v>
      </c>
      <c r="D174">
        <v>1</v>
      </c>
      <c r="E174">
        <v>1</v>
      </c>
      <c r="F174" s="12">
        <f t="shared" si="112"/>
        <v>1</v>
      </c>
      <c r="G174" s="9">
        <f t="shared" si="138"/>
        <v>3</v>
      </c>
      <c r="H174" s="9">
        <f t="shared" si="113"/>
        <v>2</v>
      </c>
      <c r="I174" s="9">
        <f t="shared" si="114"/>
        <v>2</v>
      </c>
      <c r="J174" s="9">
        <f t="shared" si="115"/>
        <v>2</v>
      </c>
      <c r="K174">
        <v>0</v>
      </c>
      <c r="L174">
        <v>0</v>
      </c>
      <c r="M174">
        <v>0</v>
      </c>
      <c r="N174" s="12">
        <f t="shared" si="116"/>
        <v>0</v>
      </c>
      <c r="O174" s="9">
        <f t="shared" si="139"/>
        <v>0</v>
      </c>
      <c r="P174" s="9">
        <f t="shared" si="117"/>
        <v>0</v>
      </c>
      <c r="Q174" s="9">
        <f t="shared" si="118"/>
        <v>0</v>
      </c>
      <c r="R174" s="9">
        <f t="shared" si="119"/>
        <v>0</v>
      </c>
      <c r="S174">
        <v>0</v>
      </c>
      <c r="T174">
        <v>0</v>
      </c>
      <c r="U174">
        <v>0</v>
      </c>
      <c r="V174" s="12">
        <f t="shared" si="120"/>
        <v>0</v>
      </c>
      <c r="W174" s="9">
        <f t="shared" si="140"/>
        <v>0</v>
      </c>
      <c r="X174" s="9">
        <f t="shared" si="121"/>
        <v>0</v>
      </c>
      <c r="Y174" s="9">
        <f t="shared" si="122"/>
        <v>0</v>
      </c>
      <c r="Z174" s="9">
        <f t="shared" si="123"/>
        <v>0</v>
      </c>
      <c r="AA174">
        <v>0</v>
      </c>
      <c r="AB174">
        <v>0</v>
      </c>
      <c r="AC174">
        <v>0</v>
      </c>
      <c r="AD174" s="12">
        <f t="shared" si="124"/>
        <v>0</v>
      </c>
      <c r="AE174" s="9">
        <f t="shared" si="125"/>
        <v>0</v>
      </c>
      <c r="AF174" s="9">
        <f t="shared" si="126"/>
        <v>0</v>
      </c>
      <c r="AG174" s="9">
        <f t="shared" si="127"/>
        <v>0</v>
      </c>
      <c r="AH174" s="9">
        <f t="shared" si="128"/>
        <v>0</v>
      </c>
      <c r="AI174" s="15">
        <f t="shared" si="129"/>
        <v>1</v>
      </c>
      <c r="AJ174" s="15">
        <f t="shared" si="130"/>
        <v>1</v>
      </c>
      <c r="AK174" s="15">
        <f t="shared" si="131"/>
        <v>1</v>
      </c>
      <c r="AL174" s="12">
        <f t="shared" si="132"/>
        <v>1</v>
      </c>
      <c r="AM174" s="12">
        <f t="shared" si="133"/>
        <v>1</v>
      </c>
      <c r="AN174" s="9">
        <f t="shared" si="134"/>
        <v>3</v>
      </c>
      <c r="AO174" s="9">
        <f t="shared" si="135"/>
        <v>2</v>
      </c>
      <c r="AP174" s="9">
        <f t="shared" si="136"/>
        <v>2</v>
      </c>
      <c r="AQ174" s="9">
        <f t="shared" si="137"/>
        <v>2</v>
      </c>
    </row>
    <row r="175">
      <c r="A175">
        <v>1042</v>
      </c>
      <c r="B175" s="1" t="s">
        <v>336</v>
      </c>
      <c r="C175">
        <v>0</v>
      </c>
      <c r="D175">
        <v>0</v>
      </c>
      <c r="E175">
        <v>0</v>
      </c>
      <c r="F175" s="12">
        <f t="shared" si="112"/>
        <v>0</v>
      </c>
      <c r="G175" s="9">
        <f t="shared" si="138"/>
        <v>0</v>
      </c>
      <c r="H175" s="9">
        <f t="shared" si="113"/>
        <v>0</v>
      </c>
      <c r="I175" s="9">
        <f t="shared" si="114"/>
        <v>0</v>
      </c>
      <c r="J175" s="9">
        <f t="shared" si="115"/>
        <v>0</v>
      </c>
      <c r="K175">
        <v>0</v>
      </c>
      <c r="L175">
        <v>0</v>
      </c>
      <c r="M175">
        <v>0</v>
      </c>
      <c r="N175" s="12">
        <f t="shared" si="116"/>
        <v>0</v>
      </c>
      <c r="O175" s="9">
        <f t="shared" si="139"/>
        <v>0</v>
      </c>
      <c r="P175" s="9">
        <f t="shared" si="117"/>
        <v>0</v>
      </c>
      <c r="Q175" s="9">
        <f t="shared" si="118"/>
        <v>0</v>
      </c>
      <c r="R175" s="9">
        <f t="shared" si="119"/>
        <v>0</v>
      </c>
      <c r="S175">
        <v>0</v>
      </c>
      <c r="T175">
        <v>0</v>
      </c>
      <c r="U175">
        <v>0</v>
      </c>
      <c r="V175" s="12">
        <f t="shared" si="120"/>
        <v>0</v>
      </c>
      <c r="W175" s="9">
        <f t="shared" si="140"/>
        <v>0</v>
      </c>
      <c r="X175" s="9">
        <f t="shared" si="121"/>
        <v>0</v>
      </c>
      <c r="Y175" s="9">
        <f t="shared" si="122"/>
        <v>0</v>
      </c>
      <c r="Z175" s="9">
        <f t="shared" si="123"/>
        <v>0</v>
      </c>
      <c r="AA175">
        <v>1</v>
      </c>
      <c r="AB175">
        <v>1</v>
      </c>
      <c r="AC175">
        <v>1</v>
      </c>
      <c r="AD175" s="12">
        <f t="shared" si="124"/>
        <v>1</v>
      </c>
      <c r="AE175" s="9">
        <f t="shared" si="125"/>
        <v>3</v>
      </c>
      <c r="AF175" s="9">
        <f t="shared" si="126"/>
        <v>2</v>
      </c>
      <c r="AG175" s="9">
        <f t="shared" si="127"/>
        <v>2</v>
      </c>
      <c r="AH175" s="9">
        <f t="shared" si="128"/>
        <v>2</v>
      </c>
      <c r="AI175" s="15">
        <f t="shared" si="129"/>
        <v>1</v>
      </c>
      <c r="AJ175" s="15">
        <f t="shared" si="130"/>
        <v>1</v>
      </c>
      <c r="AK175" s="15">
        <f t="shared" si="131"/>
        <v>1</v>
      </c>
      <c r="AL175" s="12">
        <f t="shared" si="132"/>
        <v>1</v>
      </c>
      <c r="AM175" s="12">
        <f t="shared" si="133"/>
        <v>1</v>
      </c>
      <c r="AN175" s="9">
        <f t="shared" si="134"/>
        <v>3</v>
      </c>
      <c r="AO175" s="9">
        <f t="shared" si="135"/>
        <v>2</v>
      </c>
      <c r="AP175" s="9">
        <f t="shared" si="136"/>
        <v>2</v>
      </c>
      <c r="AQ175" s="9">
        <f t="shared" si="137"/>
        <v>2</v>
      </c>
    </row>
    <row r="176">
      <c r="A176">
        <v>1053</v>
      </c>
      <c r="B176" s="1" t="s">
        <v>337</v>
      </c>
      <c r="C176">
        <v>0</v>
      </c>
      <c r="D176">
        <v>0</v>
      </c>
      <c r="E176">
        <v>0</v>
      </c>
      <c r="F176" s="12">
        <f t="shared" si="112"/>
        <v>0</v>
      </c>
      <c r="G176" s="9">
        <f t="shared" si="138"/>
        <v>0</v>
      </c>
      <c r="H176" s="9">
        <f t="shared" si="113"/>
        <v>0</v>
      </c>
      <c r="I176" s="9">
        <f t="shared" si="114"/>
        <v>0</v>
      </c>
      <c r="J176" s="9">
        <f t="shared" si="115"/>
        <v>0</v>
      </c>
      <c r="K176">
        <v>0</v>
      </c>
      <c r="L176">
        <v>0</v>
      </c>
      <c r="M176">
        <v>0</v>
      </c>
      <c r="N176" s="12">
        <f t="shared" si="116"/>
        <v>0</v>
      </c>
      <c r="O176" s="9">
        <f t="shared" si="139"/>
        <v>0</v>
      </c>
      <c r="P176" s="9">
        <f t="shared" si="117"/>
        <v>0</v>
      </c>
      <c r="Q176" s="9">
        <f t="shared" si="118"/>
        <v>0</v>
      </c>
      <c r="R176" s="9">
        <f t="shared" si="119"/>
        <v>0</v>
      </c>
      <c r="S176">
        <v>0</v>
      </c>
      <c r="T176">
        <v>0</v>
      </c>
      <c r="U176">
        <v>0</v>
      </c>
      <c r="V176" s="12">
        <f t="shared" si="120"/>
        <v>0</v>
      </c>
      <c r="W176" s="9">
        <f t="shared" si="140"/>
        <v>0</v>
      </c>
      <c r="X176" s="9">
        <f t="shared" si="121"/>
        <v>0</v>
      </c>
      <c r="Y176" s="9">
        <f t="shared" si="122"/>
        <v>0</v>
      </c>
      <c r="Z176" s="9">
        <f t="shared" si="123"/>
        <v>0</v>
      </c>
      <c r="AA176">
        <v>0</v>
      </c>
      <c r="AB176">
        <v>0</v>
      </c>
      <c r="AC176">
        <v>0</v>
      </c>
      <c r="AD176" s="12">
        <f t="shared" si="124"/>
        <v>0</v>
      </c>
      <c r="AE176" s="9">
        <f t="shared" si="125"/>
        <v>0</v>
      </c>
      <c r="AF176" s="9">
        <f t="shared" si="126"/>
        <v>0</v>
      </c>
      <c r="AG176" s="9">
        <f t="shared" si="127"/>
        <v>0</v>
      </c>
      <c r="AH176" s="9">
        <f t="shared" si="128"/>
        <v>0</v>
      </c>
      <c r="AI176" s="15">
        <f t="shared" si="129"/>
        <v>0</v>
      </c>
      <c r="AJ176" s="15">
        <f t="shared" si="130"/>
        <v>0</v>
      </c>
      <c r="AK176" s="15">
        <f t="shared" si="131"/>
        <v>0</v>
      </c>
      <c r="AL176" s="12">
        <f t="shared" si="132"/>
        <v>0</v>
      </c>
      <c r="AM176" s="12">
        <f t="shared" si="133"/>
        <v>0</v>
      </c>
      <c r="AN176" s="9">
        <f t="shared" si="134"/>
        <v>0</v>
      </c>
      <c r="AO176" s="9">
        <f t="shared" si="135"/>
        <v>0</v>
      </c>
      <c r="AP176" s="9">
        <f t="shared" si="136"/>
        <v>0</v>
      </c>
      <c r="AQ176" s="9">
        <f t="shared" si="137"/>
        <v>0</v>
      </c>
    </row>
    <row r="177">
      <c r="A177">
        <v>1063</v>
      </c>
      <c r="B177" s="1" t="s">
        <v>338</v>
      </c>
      <c r="C177">
        <v>0</v>
      </c>
      <c r="D177">
        <v>0</v>
      </c>
      <c r="E177">
        <v>0</v>
      </c>
      <c r="F177" s="12">
        <f t="shared" si="112"/>
        <v>0</v>
      </c>
      <c r="G177" s="9">
        <f t="shared" si="138"/>
        <v>0</v>
      </c>
      <c r="H177" s="9">
        <f t="shared" si="113"/>
        <v>0</v>
      </c>
      <c r="I177" s="9">
        <f t="shared" si="114"/>
        <v>0</v>
      </c>
      <c r="J177" s="9">
        <f t="shared" si="115"/>
        <v>0</v>
      </c>
      <c r="K177">
        <v>0</v>
      </c>
      <c r="L177">
        <v>1</v>
      </c>
      <c r="M177">
        <v>0</v>
      </c>
      <c r="N177" s="12">
        <f t="shared" si="116"/>
        <v>0</v>
      </c>
      <c r="O177" s="9">
        <f t="shared" si="139"/>
        <v>1</v>
      </c>
      <c r="P177" s="9">
        <f t="shared" si="117"/>
        <v>1</v>
      </c>
      <c r="Q177" s="9">
        <f t="shared" si="118"/>
        <v>0</v>
      </c>
      <c r="R177" s="9">
        <f t="shared" si="119"/>
        <v>1</v>
      </c>
      <c r="S177">
        <v>0</v>
      </c>
      <c r="T177">
        <v>0</v>
      </c>
      <c r="U177">
        <v>0</v>
      </c>
      <c r="V177" s="12">
        <f t="shared" si="120"/>
        <v>0</v>
      </c>
      <c r="W177" s="9">
        <f t="shared" si="140"/>
        <v>0</v>
      </c>
      <c r="X177" s="9">
        <f t="shared" si="121"/>
        <v>0</v>
      </c>
      <c r="Y177" s="9">
        <f t="shared" si="122"/>
        <v>0</v>
      </c>
      <c r="Z177" s="9">
        <f t="shared" si="123"/>
        <v>0</v>
      </c>
      <c r="AA177">
        <v>0</v>
      </c>
      <c r="AB177">
        <v>0</v>
      </c>
      <c r="AC177">
        <v>0</v>
      </c>
      <c r="AD177" s="12">
        <f t="shared" si="124"/>
        <v>0</v>
      </c>
      <c r="AE177" s="9">
        <f t="shared" si="125"/>
        <v>0</v>
      </c>
      <c r="AF177" s="9">
        <f t="shared" si="126"/>
        <v>0</v>
      </c>
      <c r="AG177" s="9">
        <f t="shared" si="127"/>
        <v>0</v>
      </c>
      <c r="AH177" s="9">
        <f t="shared" si="128"/>
        <v>0</v>
      </c>
      <c r="AI177" s="15">
        <f t="shared" si="129"/>
        <v>0</v>
      </c>
      <c r="AJ177" s="15">
        <f t="shared" si="130"/>
        <v>1</v>
      </c>
      <c r="AK177" s="15">
        <f t="shared" si="131"/>
        <v>0</v>
      </c>
      <c r="AL177" s="12">
        <f t="shared" si="132"/>
        <v>0</v>
      </c>
      <c r="AM177" s="12">
        <f t="shared" si="133"/>
        <v>0</v>
      </c>
      <c r="AN177" s="9">
        <f t="shared" si="134"/>
        <v>1</v>
      </c>
      <c r="AO177" s="9">
        <f t="shared" si="135"/>
        <v>1</v>
      </c>
      <c r="AP177" s="9">
        <f t="shared" si="136"/>
        <v>0</v>
      </c>
      <c r="AQ177" s="9">
        <f t="shared" si="137"/>
        <v>1</v>
      </c>
    </row>
    <row r="178">
      <c r="A178">
        <v>1064</v>
      </c>
      <c r="B178" s="1" t="s">
        <v>339</v>
      </c>
      <c r="C178">
        <v>0</v>
      </c>
      <c r="D178">
        <v>0</v>
      </c>
      <c r="E178">
        <v>0</v>
      </c>
      <c r="F178" s="12">
        <f t="shared" si="112"/>
        <v>0</v>
      </c>
      <c r="G178" s="9">
        <f t="shared" si="138"/>
        <v>0</v>
      </c>
      <c r="H178" s="9">
        <f t="shared" si="113"/>
        <v>0</v>
      </c>
      <c r="I178" s="9">
        <f t="shared" si="114"/>
        <v>0</v>
      </c>
      <c r="J178" s="9">
        <f t="shared" si="115"/>
        <v>0</v>
      </c>
      <c r="K178">
        <v>0</v>
      </c>
      <c r="L178">
        <v>0</v>
      </c>
      <c r="M178">
        <v>0</v>
      </c>
      <c r="N178" s="12">
        <f t="shared" si="116"/>
        <v>0</v>
      </c>
      <c r="O178" s="9">
        <f t="shared" si="139"/>
        <v>0</v>
      </c>
      <c r="P178" s="9">
        <f t="shared" si="117"/>
        <v>0</v>
      </c>
      <c r="Q178" s="9">
        <f t="shared" si="118"/>
        <v>0</v>
      </c>
      <c r="R178" s="9">
        <f t="shared" si="119"/>
        <v>0</v>
      </c>
      <c r="S178">
        <v>0</v>
      </c>
      <c r="T178">
        <v>0</v>
      </c>
      <c r="U178">
        <v>0</v>
      </c>
      <c r="V178" s="12">
        <f t="shared" si="120"/>
        <v>0</v>
      </c>
      <c r="W178" s="9">
        <f t="shared" si="140"/>
        <v>0</v>
      </c>
      <c r="X178" s="9">
        <f t="shared" si="121"/>
        <v>0</v>
      </c>
      <c r="Y178" s="9">
        <f t="shared" si="122"/>
        <v>0</v>
      </c>
      <c r="Z178" s="9">
        <f t="shared" si="123"/>
        <v>0</v>
      </c>
      <c r="AA178">
        <v>0</v>
      </c>
      <c r="AB178">
        <v>0</v>
      </c>
      <c r="AC178">
        <v>0</v>
      </c>
      <c r="AD178" s="12">
        <f t="shared" si="124"/>
        <v>0</v>
      </c>
      <c r="AE178" s="9">
        <f t="shared" si="125"/>
        <v>0</v>
      </c>
      <c r="AF178" s="9">
        <f t="shared" si="126"/>
        <v>0</v>
      </c>
      <c r="AG178" s="9">
        <f t="shared" si="127"/>
        <v>0</v>
      </c>
      <c r="AH178" s="9">
        <f t="shared" si="128"/>
        <v>0</v>
      </c>
      <c r="AI178" s="15">
        <f t="shared" si="129"/>
        <v>0</v>
      </c>
      <c r="AJ178" s="15">
        <f t="shared" si="130"/>
        <v>0</v>
      </c>
      <c r="AK178" s="15">
        <f t="shared" si="131"/>
        <v>0</v>
      </c>
      <c r="AL178" s="12">
        <f t="shared" si="132"/>
        <v>0</v>
      </c>
      <c r="AM178" s="12">
        <f t="shared" si="133"/>
        <v>0</v>
      </c>
      <c r="AN178" s="9">
        <f t="shared" si="134"/>
        <v>0</v>
      </c>
      <c r="AO178" s="9">
        <f t="shared" si="135"/>
        <v>0</v>
      </c>
      <c r="AP178" s="9">
        <f t="shared" si="136"/>
        <v>0</v>
      </c>
      <c r="AQ178" s="9">
        <f t="shared" si="137"/>
        <v>0</v>
      </c>
    </row>
    <row r="179">
      <c r="A179">
        <v>1073</v>
      </c>
      <c r="B179" s="1" t="s">
        <v>340</v>
      </c>
      <c r="C179">
        <v>0</v>
      </c>
      <c r="D179">
        <v>0</v>
      </c>
      <c r="E179">
        <v>0</v>
      </c>
      <c r="F179" s="12">
        <f t="shared" si="112"/>
        <v>0</v>
      </c>
      <c r="G179" s="9">
        <f t="shared" si="138"/>
        <v>0</v>
      </c>
      <c r="H179" s="9">
        <f t="shared" si="113"/>
        <v>0</v>
      </c>
      <c r="I179" s="9">
        <f t="shared" si="114"/>
        <v>0</v>
      </c>
      <c r="J179" s="9">
        <f t="shared" si="115"/>
        <v>0</v>
      </c>
      <c r="K179">
        <v>0</v>
      </c>
      <c r="L179">
        <v>0</v>
      </c>
      <c r="M179">
        <v>0</v>
      </c>
      <c r="N179" s="12">
        <f t="shared" si="116"/>
        <v>0</v>
      </c>
      <c r="O179" s="9">
        <f t="shared" si="139"/>
        <v>0</v>
      </c>
      <c r="P179" s="9">
        <f t="shared" si="117"/>
        <v>0</v>
      </c>
      <c r="Q179" s="9">
        <f t="shared" si="118"/>
        <v>0</v>
      </c>
      <c r="R179" s="9">
        <f t="shared" si="119"/>
        <v>0</v>
      </c>
      <c r="S179">
        <v>1</v>
      </c>
      <c r="T179">
        <v>1</v>
      </c>
      <c r="U179">
        <v>0</v>
      </c>
      <c r="V179" s="12">
        <f t="shared" si="120"/>
        <v>1</v>
      </c>
      <c r="W179" s="9">
        <f t="shared" si="140"/>
        <v>2</v>
      </c>
      <c r="X179" s="9">
        <f t="shared" si="121"/>
        <v>2</v>
      </c>
      <c r="Y179" s="9">
        <f t="shared" si="122"/>
        <v>1</v>
      </c>
      <c r="Z179" s="9">
        <f t="shared" si="123"/>
        <v>1</v>
      </c>
      <c r="AA179">
        <v>0</v>
      </c>
      <c r="AB179">
        <v>0</v>
      </c>
      <c r="AC179">
        <v>0</v>
      </c>
      <c r="AD179" s="12">
        <f t="shared" si="124"/>
        <v>0</v>
      </c>
      <c r="AE179" s="9">
        <f t="shared" si="125"/>
        <v>0</v>
      </c>
      <c r="AF179" s="9">
        <f t="shared" si="126"/>
        <v>0</v>
      </c>
      <c r="AG179" s="9">
        <f t="shared" si="127"/>
        <v>0</v>
      </c>
      <c r="AH179" s="9">
        <f t="shared" si="128"/>
        <v>0</v>
      </c>
      <c r="AI179" s="15">
        <f t="shared" si="129"/>
        <v>1</v>
      </c>
      <c r="AJ179" s="15">
        <f t="shared" si="130"/>
        <v>1</v>
      </c>
      <c r="AK179" s="15">
        <f t="shared" si="131"/>
        <v>0</v>
      </c>
      <c r="AL179" s="12">
        <f t="shared" si="132"/>
        <v>1</v>
      </c>
      <c r="AM179" s="12">
        <f t="shared" si="133"/>
        <v>1</v>
      </c>
      <c r="AN179" s="9">
        <f t="shared" si="134"/>
        <v>2</v>
      </c>
      <c r="AO179" s="9">
        <f t="shared" si="135"/>
        <v>2</v>
      </c>
      <c r="AP179" s="9">
        <f t="shared" si="136"/>
        <v>1</v>
      </c>
      <c r="AQ179" s="9">
        <f t="shared" si="137"/>
        <v>1</v>
      </c>
    </row>
    <row r="180">
      <c r="A180">
        <v>1076</v>
      </c>
      <c r="B180" s="1" t="s">
        <v>341</v>
      </c>
      <c r="C180">
        <v>0</v>
      </c>
      <c r="D180">
        <v>0</v>
      </c>
      <c r="E180">
        <v>0</v>
      </c>
      <c r="F180" s="12">
        <f t="shared" si="112"/>
        <v>0</v>
      </c>
      <c r="G180" s="9">
        <f t="shared" si="138"/>
        <v>0</v>
      </c>
      <c r="H180" s="9">
        <f t="shared" si="113"/>
        <v>0</v>
      </c>
      <c r="I180" s="9">
        <f t="shared" si="114"/>
        <v>0</v>
      </c>
      <c r="J180" s="9">
        <f t="shared" si="115"/>
        <v>0</v>
      </c>
      <c r="K180">
        <v>0</v>
      </c>
      <c r="L180">
        <v>0</v>
      </c>
      <c r="M180">
        <v>0</v>
      </c>
      <c r="N180" s="12">
        <f t="shared" si="116"/>
        <v>0</v>
      </c>
      <c r="O180" s="9">
        <f t="shared" si="139"/>
        <v>0</v>
      </c>
      <c r="P180" s="9">
        <f t="shared" si="117"/>
        <v>0</v>
      </c>
      <c r="Q180" s="9">
        <f t="shared" si="118"/>
        <v>0</v>
      </c>
      <c r="R180" s="9">
        <f t="shared" si="119"/>
        <v>0</v>
      </c>
      <c r="S180">
        <v>0</v>
      </c>
      <c r="T180">
        <v>0</v>
      </c>
      <c r="U180">
        <v>0</v>
      </c>
      <c r="V180" s="12">
        <f t="shared" si="120"/>
        <v>0</v>
      </c>
      <c r="W180" s="9">
        <f t="shared" si="140"/>
        <v>0</v>
      </c>
      <c r="X180" s="9">
        <f t="shared" si="121"/>
        <v>0</v>
      </c>
      <c r="Y180" s="9">
        <f t="shared" si="122"/>
        <v>0</v>
      </c>
      <c r="Z180" s="9">
        <f t="shared" si="123"/>
        <v>0</v>
      </c>
      <c r="AA180">
        <v>0</v>
      </c>
      <c r="AB180">
        <v>0</v>
      </c>
      <c r="AC180">
        <v>1</v>
      </c>
      <c r="AD180" s="12">
        <f t="shared" si="124"/>
        <v>0</v>
      </c>
      <c r="AE180" s="9">
        <f t="shared" si="125"/>
        <v>1</v>
      </c>
      <c r="AF180" s="9">
        <f t="shared" si="126"/>
        <v>0</v>
      </c>
      <c r="AG180" s="9">
        <f t="shared" si="127"/>
        <v>1</v>
      </c>
      <c r="AH180" s="9">
        <f t="shared" si="128"/>
        <v>1</v>
      </c>
      <c r="AI180" s="15">
        <f t="shared" si="129"/>
        <v>0</v>
      </c>
      <c r="AJ180" s="15">
        <f t="shared" si="130"/>
        <v>0</v>
      </c>
      <c r="AK180" s="15">
        <f t="shared" si="131"/>
        <v>1</v>
      </c>
      <c r="AL180" s="12">
        <f t="shared" si="132"/>
        <v>0</v>
      </c>
      <c r="AM180" s="12">
        <f t="shared" si="133"/>
        <v>0</v>
      </c>
      <c r="AN180" s="9">
        <f t="shared" si="134"/>
        <v>1</v>
      </c>
      <c r="AO180" s="9">
        <f t="shared" si="135"/>
        <v>0</v>
      </c>
      <c r="AP180" s="9">
        <f t="shared" si="136"/>
        <v>1</v>
      </c>
      <c r="AQ180" s="9">
        <f t="shared" si="137"/>
        <v>1</v>
      </c>
    </row>
    <row r="181">
      <c r="A181">
        <v>1182</v>
      </c>
      <c r="B181" s="1" t="s">
        <v>342</v>
      </c>
      <c r="C181">
        <v>0</v>
      </c>
      <c r="D181">
        <v>0</v>
      </c>
      <c r="E181">
        <v>0</v>
      </c>
      <c r="F181" s="12">
        <f t="shared" si="112"/>
        <v>0</v>
      </c>
      <c r="G181" s="9">
        <f t="shared" si="138"/>
        <v>0</v>
      </c>
      <c r="H181" s="9">
        <f t="shared" si="113"/>
        <v>0</v>
      </c>
      <c r="I181" s="9">
        <f t="shared" si="114"/>
        <v>0</v>
      </c>
      <c r="J181" s="9">
        <f t="shared" si="115"/>
        <v>0</v>
      </c>
      <c r="K181">
        <v>0</v>
      </c>
      <c r="L181">
        <v>0</v>
      </c>
      <c r="M181">
        <v>0</v>
      </c>
      <c r="N181" s="12">
        <f t="shared" si="116"/>
        <v>0</v>
      </c>
      <c r="O181" s="9">
        <f t="shared" si="139"/>
        <v>0</v>
      </c>
      <c r="P181" s="9">
        <f t="shared" si="117"/>
        <v>0</v>
      </c>
      <c r="Q181" s="9">
        <f t="shared" si="118"/>
        <v>0</v>
      </c>
      <c r="R181" s="9">
        <f t="shared" si="119"/>
        <v>0</v>
      </c>
      <c r="S181">
        <v>0</v>
      </c>
      <c r="T181">
        <v>0</v>
      </c>
      <c r="U181">
        <v>0</v>
      </c>
      <c r="V181" s="12">
        <f t="shared" si="120"/>
        <v>0</v>
      </c>
      <c r="W181" s="9">
        <f t="shared" si="140"/>
        <v>0</v>
      </c>
      <c r="X181" s="9">
        <f t="shared" si="121"/>
        <v>0</v>
      </c>
      <c r="Y181" s="9">
        <f t="shared" si="122"/>
        <v>0</v>
      </c>
      <c r="Z181" s="9">
        <f t="shared" si="123"/>
        <v>0</v>
      </c>
      <c r="AA181">
        <v>0</v>
      </c>
      <c r="AB181">
        <v>0</v>
      </c>
      <c r="AC181">
        <v>0</v>
      </c>
      <c r="AD181" s="12">
        <f t="shared" si="124"/>
        <v>0</v>
      </c>
      <c r="AE181" s="9">
        <f t="shared" si="125"/>
        <v>0</v>
      </c>
      <c r="AF181" s="9">
        <f t="shared" si="126"/>
        <v>0</v>
      </c>
      <c r="AG181" s="9">
        <f t="shared" si="127"/>
        <v>0</v>
      </c>
      <c r="AH181" s="9">
        <f t="shared" si="128"/>
        <v>0</v>
      </c>
      <c r="AI181" s="15">
        <f t="shared" si="129"/>
        <v>0</v>
      </c>
      <c r="AJ181" s="15">
        <f t="shared" si="130"/>
        <v>0</v>
      </c>
      <c r="AK181" s="15">
        <f t="shared" si="131"/>
        <v>0</v>
      </c>
      <c r="AL181" s="12">
        <f t="shared" si="132"/>
        <v>0</v>
      </c>
      <c r="AM181" s="12">
        <f t="shared" si="133"/>
        <v>0</v>
      </c>
      <c r="AN181" s="9">
        <f t="shared" si="134"/>
        <v>0</v>
      </c>
      <c r="AO181" s="9">
        <f t="shared" si="135"/>
        <v>0</v>
      </c>
      <c r="AP181" s="9">
        <f t="shared" si="136"/>
        <v>0</v>
      </c>
      <c r="AQ181" s="9">
        <f t="shared" si="137"/>
        <v>0</v>
      </c>
    </row>
    <row r="182">
      <c r="A182">
        <v>1184</v>
      </c>
      <c r="B182" s="1" t="s">
        <v>343</v>
      </c>
      <c r="C182">
        <v>0</v>
      </c>
      <c r="D182">
        <v>0</v>
      </c>
      <c r="E182">
        <v>0</v>
      </c>
      <c r="F182" s="12">
        <f t="shared" si="112"/>
        <v>0</v>
      </c>
      <c r="G182" s="9">
        <f t="shared" si="138"/>
        <v>0</v>
      </c>
      <c r="H182" s="9">
        <f t="shared" si="113"/>
        <v>0</v>
      </c>
      <c r="I182" s="9">
        <f t="shared" si="114"/>
        <v>0</v>
      </c>
      <c r="J182" s="9">
        <f t="shared" si="115"/>
        <v>0</v>
      </c>
      <c r="K182">
        <v>0</v>
      </c>
      <c r="L182">
        <v>1</v>
      </c>
      <c r="M182">
        <v>0</v>
      </c>
      <c r="N182" s="12">
        <f t="shared" si="116"/>
        <v>0</v>
      </c>
      <c r="O182" s="9">
        <f t="shared" si="139"/>
        <v>1</v>
      </c>
      <c r="P182" s="9">
        <f t="shared" si="117"/>
        <v>1</v>
      </c>
      <c r="Q182" s="9">
        <f t="shared" si="118"/>
        <v>0</v>
      </c>
      <c r="R182" s="9">
        <f t="shared" si="119"/>
        <v>1</v>
      </c>
      <c r="S182">
        <v>1</v>
      </c>
      <c r="T182">
        <v>1</v>
      </c>
      <c r="U182">
        <v>1</v>
      </c>
      <c r="V182" s="12">
        <f t="shared" si="120"/>
        <v>1</v>
      </c>
      <c r="W182" s="9">
        <f t="shared" si="140"/>
        <v>3</v>
      </c>
      <c r="X182" s="9">
        <f t="shared" si="121"/>
        <v>2</v>
      </c>
      <c r="Y182" s="9">
        <f t="shared" si="122"/>
        <v>2</v>
      </c>
      <c r="Z182" s="9">
        <f t="shared" si="123"/>
        <v>2</v>
      </c>
      <c r="AA182">
        <v>0</v>
      </c>
      <c r="AB182">
        <v>0</v>
      </c>
      <c r="AC182">
        <v>0</v>
      </c>
      <c r="AD182" s="12">
        <f t="shared" si="124"/>
        <v>0</v>
      </c>
      <c r="AE182" s="9">
        <f t="shared" si="125"/>
        <v>0</v>
      </c>
      <c r="AF182" s="9">
        <f t="shared" si="126"/>
        <v>0</v>
      </c>
      <c r="AG182" s="9">
        <f t="shared" si="127"/>
        <v>0</v>
      </c>
      <c r="AH182" s="9">
        <f t="shared" si="128"/>
        <v>0</v>
      </c>
      <c r="AI182" s="15">
        <f t="shared" si="129"/>
        <v>1</v>
      </c>
      <c r="AJ182" s="15">
        <f t="shared" si="130"/>
        <v>1</v>
      </c>
      <c r="AK182" s="15">
        <f t="shared" si="131"/>
        <v>1</v>
      </c>
      <c r="AL182" s="12">
        <f t="shared" si="132"/>
        <v>1</v>
      </c>
      <c r="AM182" s="12">
        <f t="shared" si="133"/>
        <v>1</v>
      </c>
      <c r="AN182" s="9">
        <f t="shared" si="134"/>
        <v>3</v>
      </c>
      <c r="AO182" s="9">
        <f t="shared" si="135"/>
        <v>2</v>
      </c>
      <c r="AP182" s="9">
        <f t="shared" si="136"/>
        <v>2</v>
      </c>
      <c r="AQ182" s="9">
        <f t="shared" si="137"/>
        <v>2</v>
      </c>
    </row>
    <row r="183">
      <c r="A183">
        <v>1186</v>
      </c>
      <c r="B183" s="1" t="s">
        <v>344</v>
      </c>
      <c r="C183">
        <v>0</v>
      </c>
      <c r="D183">
        <v>0</v>
      </c>
      <c r="E183">
        <v>0</v>
      </c>
      <c r="F183" s="12">
        <f t="shared" si="112"/>
        <v>0</v>
      </c>
      <c r="G183" s="9">
        <f t="shared" si="138"/>
        <v>0</v>
      </c>
      <c r="H183" s="9">
        <f t="shared" si="113"/>
        <v>0</v>
      </c>
      <c r="I183" s="9">
        <f t="shared" si="114"/>
        <v>0</v>
      </c>
      <c r="J183" s="9">
        <f t="shared" si="115"/>
        <v>0</v>
      </c>
      <c r="K183">
        <v>0</v>
      </c>
      <c r="L183">
        <v>0</v>
      </c>
      <c r="M183">
        <v>0</v>
      </c>
      <c r="N183" s="12">
        <f t="shared" si="116"/>
        <v>0</v>
      </c>
      <c r="O183" s="9">
        <f t="shared" si="139"/>
        <v>0</v>
      </c>
      <c r="P183" s="9">
        <f t="shared" si="117"/>
        <v>0</v>
      </c>
      <c r="Q183" s="9">
        <f t="shared" si="118"/>
        <v>0</v>
      </c>
      <c r="R183" s="9">
        <f t="shared" si="119"/>
        <v>0</v>
      </c>
      <c r="S183">
        <v>0</v>
      </c>
      <c r="T183">
        <v>1</v>
      </c>
      <c r="U183">
        <v>0</v>
      </c>
      <c r="V183" s="12">
        <f t="shared" si="120"/>
        <v>0</v>
      </c>
      <c r="W183" s="9">
        <f t="shared" si="140"/>
        <v>1</v>
      </c>
      <c r="X183" s="9">
        <f t="shared" si="121"/>
        <v>1</v>
      </c>
      <c r="Y183" s="9">
        <f t="shared" si="122"/>
        <v>0</v>
      </c>
      <c r="Z183" s="9">
        <f t="shared" si="123"/>
        <v>1</v>
      </c>
      <c r="AA183">
        <v>0</v>
      </c>
      <c r="AB183">
        <v>0</v>
      </c>
      <c r="AC183">
        <v>0</v>
      </c>
      <c r="AD183" s="12">
        <f t="shared" si="124"/>
        <v>0</v>
      </c>
      <c r="AE183" s="9">
        <f t="shared" si="125"/>
        <v>0</v>
      </c>
      <c r="AF183" s="9">
        <f t="shared" si="126"/>
        <v>0</v>
      </c>
      <c r="AG183" s="9">
        <f t="shared" si="127"/>
        <v>0</v>
      </c>
      <c r="AH183" s="9">
        <f t="shared" si="128"/>
        <v>0</v>
      </c>
      <c r="AI183" s="15">
        <f t="shared" si="129"/>
        <v>0</v>
      </c>
      <c r="AJ183" s="15">
        <f t="shared" si="130"/>
        <v>1</v>
      </c>
      <c r="AK183" s="15">
        <f t="shared" si="131"/>
        <v>0</v>
      </c>
      <c r="AL183" s="12">
        <f t="shared" si="132"/>
        <v>0</v>
      </c>
      <c r="AM183" s="12">
        <f t="shared" si="133"/>
        <v>0</v>
      </c>
      <c r="AN183" s="9">
        <f t="shared" si="134"/>
        <v>1</v>
      </c>
      <c r="AO183" s="9">
        <f t="shared" si="135"/>
        <v>1</v>
      </c>
      <c r="AP183" s="9">
        <f t="shared" si="136"/>
        <v>0</v>
      </c>
      <c r="AQ183" s="9">
        <f t="shared" si="137"/>
        <v>1</v>
      </c>
    </row>
    <row r="184">
      <c r="A184">
        <v>1187</v>
      </c>
      <c r="B184" s="1" t="s">
        <v>345</v>
      </c>
      <c r="C184">
        <v>0</v>
      </c>
      <c r="D184">
        <v>0</v>
      </c>
      <c r="E184">
        <v>0</v>
      </c>
      <c r="F184" s="12">
        <f t="shared" si="112"/>
        <v>0</v>
      </c>
      <c r="G184" s="9">
        <f t="shared" si="138"/>
        <v>0</v>
      </c>
      <c r="H184" s="9">
        <f t="shared" si="113"/>
        <v>0</v>
      </c>
      <c r="I184" s="9">
        <f t="shared" si="114"/>
        <v>0</v>
      </c>
      <c r="J184" s="9">
        <f t="shared" si="115"/>
        <v>0</v>
      </c>
      <c r="K184">
        <v>0</v>
      </c>
      <c r="L184">
        <v>0</v>
      </c>
      <c r="M184">
        <v>0</v>
      </c>
      <c r="N184" s="12">
        <f t="shared" si="116"/>
        <v>0</v>
      </c>
      <c r="O184" s="9">
        <f t="shared" si="139"/>
        <v>0</v>
      </c>
      <c r="P184" s="9">
        <f t="shared" si="117"/>
        <v>0</v>
      </c>
      <c r="Q184" s="9">
        <f t="shared" si="118"/>
        <v>0</v>
      </c>
      <c r="R184" s="9">
        <f t="shared" si="119"/>
        <v>0</v>
      </c>
      <c r="S184">
        <v>0</v>
      </c>
      <c r="T184">
        <v>0</v>
      </c>
      <c r="U184">
        <v>0</v>
      </c>
      <c r="V184" s="12">
        <f t="shared" si="120"/>
        <v>0</v>
      </c>
      <c r="W184" s="9">
        <f t="shared" si="140"/>
        <v>0</v>
      </c>
      <c r="X184" s="9">
        <f t="shared" si="121"/>
        <v>0</v>
      </c>
      <c r="Y184" s="9">
        <f t="shared" si="122"/>
        <v>0</v>
      </c>
      <c r="Z184" s="9">
        <f t="shared" si="123"/>
        <v>0</v>
      </c>
      <c r="AA184">
        <v>0</v>
      </c>
      <c r="AB184">
        <v>0</v>
      </c>
      <c r="AC184">
        <v>0</v>
      </c>
      <c r="AD184" s="12">
        <f t="shared" si="124"/>
        <v>0</v>
      </c>
      <c r="AE184" s="9">
        <f t="shared" si="125"/>
        <v>0</v>
      </c>
      <c r="AF184" s="9">
        <f t="shared" si="126"/>
        <v>0</v>
      </c>
      <c r="AG184" s="9">
        <f t="shared" si="127"/>
        <v>0</v>
      </c>
      <c r="AH184" s="9">
        <f t="shared" si="128"/>
        <v>0</v>
      </c>
      <c r="AI184" s="15">
        <f t="shared" si="129"/>
        <v>0</v>
      </c>
      <c r="AJ184" s="15">
        <f t="shared" si="130"/>
        <v>0</v>
      </c>
      <c r="AK184" s="15">
        <f t="shared" si="131"/>
        <v>0</v>
      </c>
      <c r="AL184" s="12">
        <f t="shared" si="132"/>
        <v>0</v>
      </c>
      <c r="AM184" s="12">
        <f t="shared" si="133"/>
        <v>0</v>
      </c>
      <c r="AN184" s="9">
        <f t="shared" si="134"/>
        <v>0</v>
      </c>
      <c r="AO184" s="9">
        <f t="shared" si="135"/>
        <v>0</v>
      </c>
      <c r="AP184" s="9">
        <f t="shared" si="136"/>
        <v>0</v>
      </c>
      <c r="AQ184" s="9">
        <f t="shared" si="137"/>
        <v>0</v>
      </c>
    </row>
    <row r="185">
      <c r="A185">
        <v>1190</v>
      </c>
      <c r="B185" s="1" t="s">
        <v>346</v>
      </c>
      <c r="C185">
        <v>0</v>
      </c>
      <c r="D185">
        <v>0</v>
      </c>
      <c r="E185">
        <v>0</v>
      </c>
      <c r="F185" s="12">
        <f t="shared" si="112"/>
        <v>0</v>
      </c>
      <c r="G185" s="9">
        <f t="shared" si="138"/>
        <v>0</v>
      </c>
      <c r="H185" s="9">
        <f t="shared" si="113"/>
        <v>0</v>
      </c>
      <c r="I185" s="9">
        <f t="shared" si="114"/>
        <v>0</v>
      </c>
      <c r="J185" s="9">
        <f t="shared" si="115"/>
        <v>0</v>
      </c>
      <c r="K185">
        <v>0</v>
      </c>
      <c r="L185">
        <v>0</v>
      </c>
      <c r="M185">
        <v>0</v>
      </c>
      <c r="N185" s="12">
        <f t="shared" si="116"/>
        <v>0</v>
      </c>
      <c r="O185" s="9">
        <f t="shared" si="139"/>
        <v>0</v>
      </c>
      <c r="P185" s="9">
        <f t="shared" si="117"/>
        <v>0</v>
      </c>
      <c r="Q185" s="9">
        <f t="shared" si="118"/>
        <v>0</v>
      </c>
      <c r="R185" s="9">
        <f t="shared" si="119"/>
        <v>0</v>
      </c>
      <c r="S185">
        <v>0</v>
      </c>
      <c r="T185">
        <v>1</v>
      </c>
      <c r="U185">
        <v>0</v>
      </c>
      <c r="V185" s="12">
        <f t="shared" si="120"/>
        <v>0</v>
      </c>
      <c r="W185" s="9">
        <f t="shared" si="140"/>
        <v>1</v>
      </c>
      <c r="X185" s="9">
        <f t="shared" si="121"/>
        <v>1</v>
      </c>
      <c r="Y185" s="9">
        <f t="shared" si="122"/>
        <v>0</v>
      </c>
      <c r="Z185" s="9">
        <f t="shared" si="123"/>
        <v>1</v>
      </c>
      <c r="AA185">
        <v>0</v>
      </c>
      <c r="AB185">
        <v>0</v>
      </c>
      <c r="AC185">
        <v>0</v>
      </c>
      <c r="AD185" s="12">
        <f t="shared" si="124"/>
        <v>0</v>
      </c>
      <c r="AE185" s="9">
        <f t="shared" si="125"/>
        <v>0</v>
      </c>
      <c r="AF185" s="9">
        <f t="shared" si="126"/>
        <v>0</v>
      </c>
      <c r="AG185" s="9">
        <f t="shared" si="127"/>
        <v>0</v>
      </c>
      <c r="AH185" s="9">
        <f t="shared" si="128"/>
        <v>0</v>
      </c>
      <c r="AI185" s="15">
        <f t="shared" si="129"/>
        <v>0</v>
      </c>
      <c r="AJ185" s="15">
        <f t="shared" si="130"/>
        <v>1</v>
      </c>
      <c r="AK185" s="15">
        <f t="shared" si="131"/>
        <v>0</v>
      </c>
      <c r="AL185" s="12">
        <f t="shared" si="132"/>
        <v>0</v>
      </c>
      <c r="AM185" s="12">
        <f t="shared" si="133"/>
        <v>0</v>
      </c>
      <c r="AN185" s="9">
        <f t="shared" si="134"/>
        <v>1</v>
      </c>
      <c r="AO185" s="9">
        <f t="shared" si="135"/>
        <v>1</v>
      </c>
      <c r="AP185" s="9">
        <f t="shared" si="136"/>
        <v>0</v>
      </c>
      <c r="AQ185" s="9">
        <f t="shared" si="137"/>
        <v>1</v>
      </c>
    </row>
    <row r="186">
      <c r="A186">
        <v>1193</v>
      </c>
      <c r="B186" s="1" t="s">
        <v>347</v>
      </c>
      <c r="C186">
        <v>1</v>
      </c>
      <c r="D186">
        <v>0</v>
      </c>
      <c r="E186">
        <v>0</v>
      </c>
      <c r="F186" s="12">
        <f t="shared" si="112"/>
        <v>0</v>
      </c>
      <c r="G186" s="9">
        <f t="shared" si="138"/>
        <v>1</v>
      </c>
      <c r="H186" s="9">
        <f t="shared" si="113"/>
        <v>1</v>
      </c>
      <c r="I186" s="9">
        <f t="shared" si="114"/>
        <v>1</v>
      </c>
      <c r="J186" s="9">
        <f t="shared" si="115"/>
        <v>0</v>
      </c>
      <c r="K186">
        <v>0</v>
      </c>
      <c r="L186">
        <v>0</v>
      </c>
      <c r="M186">
        <v>0</v>
      </c>
      <c r="N186" s="12">
        <f t="shared" si="116"/>
        <v>0</v>
      </c>
      <c r="O186" s="9">
        <f t="shared" si="139"/>
        <v>0</v>
      </c>
      <c r="P186" s="9">
        <f t="shared" si="117"/>
        <v>0</v>
      </c>
      <c r="Q186" s="9">
        <f t="shared" si="118"/>
        <v>0</v>
      </c>
      <c r="R186" s="9">
        <f t="shared" si="119"/>
        <v>0</v>
      </c>
      <c r="S186">
        <v>0</v>
      </c>
      <c r="T186">
        <v>0</v>
      </c>
      <c r="U186">
        <v>0</v>
      </c>
      <c r="V186" s="12">
        <f t="shared" si="120"/>
        <v>0</v>
      </c>
      <c r="W186" s="9">
        <f t="shared" si="140"/>
        <v>0</v>
      </c>
      <c r="X186" s="9">
        <f t="shared" si="121"/>
        <v>0</v>
      </c>
      <c r="Y186" s="9">
        <f t="shared" si="122"/>
        <v>0</v>
      </c>
      <c r="Z186" s="9">
        <f t="shared" si="123"/>
        <v>0</v>
      </c>
      <c r="AA186">
        <v>0</v>
      </c>
      <c r="AB186">
        <v>0</v>
      </c>
      <c r="AC186">
        <v>0</v>
      </c>
      <c r="AD186" s="12">
        <f t="shared" si="124"/>
        <v>0</v>
      </c>
      <c r="AE186" s="9">
        <f t="shared" si="125"/>
        <v>0</v>
      </c>
      <c r="AF186" s="9">
        <f t="shared" si="126"/>
        <v>0</v>
      </c>
      <c r="AG186" s="9">
        <f t="shared" si="127"/>
        <v>0</v>
      </c>
      <c r="AH186" s="9">
        <f t="shared" si="128"/>
        <v>0</v>
      </c>
      <c r="AI186" s="15">
        <f t="shared" si="129"/>
        <v>1</v>
      </c>
      <c r="AJ186" s="15">
        <f t="shared" si="130"/>
        <v>0</v>
      </c>
      <c r="AK186" s="15">
        <f t="shared" si="131"/>
        <v>0</v>
      </c>
      <c r="AL186" s="12">
        <f t="shared" si="132"/>
        <v>0</v>
      </c>
      <c r="AM186" s="12">
        <f t="shared" si="133"/>
        <v>0</v>
      </c>
      <c r="AN186" s="9">
        <f t="shared" si="134"/>
        <v>1</v>
      </c>
      <c r="AO186" s="9">
        <f t="shared" si="135"/>
        <v>1</v>
      </c>
      <c r="AP186" s="9">
        <f t="shared" si="136"/>
        <v>1</v>
      </c>
      <c r="AQ186" s="9">
        <f t="shared" si="137"/>
        <v>0</v>
      </c>
    </row>
    <row r="187">
      <c r="A187">
        <v>1200</v>
      </c>
      <c r="B187" s="1" t="s">
        <v>348</v>
      </c>
      <c r="C187">
        <v>0</v>
      </c>
      <c r="D187">
        <v>0</v>
      </c>
      <c r="E187">
        <v>0</v>
      </c>
      <c r="F187" s="12">
        <f t="shared" si="112"/>
        <v>0</v>
      </c>
      <c r="G187" s="9">
        <f t="shared" si="138"/>
        <v>0</v>
      </c>
      <c r="H187" s="9">
        <f t="shared" si="113"/>
        <v>0</v>
      </c>
      <c r="I187" s="9">
        <f t="shared" si="114"/>
        <v>0</v>
      </c>
      <c r="J187" s="9">
        <f t="shared" si="115"/>
        <v>0</v>
      </c>
      <c r="K187">
        <v>0</v>
      </c>
      <c r="L187">
        <v>0</v>
      </c>
      <c r="M187">
        <v>0</v>
      </c>
      <c r="N187" s="12">
        <f t="shared" si="116"/>
        <v>0</v>
      </c>
      <c r="O187" s="9">
        <f t="shared" si="139"/>
        <v>0</v>
      </c>
      <c r="P187" s="9">
        <f t="shared" si="117"/>
        <v>0</v>
      </c>
      <c r="Q187" s="9">
        <f t="shared" si="118"/>
        <v>0</v>
      </c>
      <c r="R187" s="9">
        <f t="shared" si="119"/>
        <v>0</v>
      </c>
      <c r="S187">
        <v>0</v>
      </c>
      <c r="T187">
        <v>0</v>
      </c>
      <c r="U187">
        <v>0</v>
      </c>
      <c r="V187" s="12">
        <f t="shared" si="120"/>
        <v>0</v>
      </c>
      <c r="W187" s="9">
        <f t="shared" si="140"/>
        <v>0</v>
      </c>
      <c r="X187" s="9">
        <f t="shared" si="121"/>
        <v>0</v>
      </c>
      <c r="Y187" s="9">
        <f t="shared" si="122"/>
        <v>0</v>
      </c>
      <c r="Z187" s="9">
        <f t="shared" si="123"/>
        <v>0</v>
      </c>
      <c r="AA187">
        <v>0</v>
      </c>
      <c r="AB187">
        <v>0</v>
      </c>
      <c r="AC187">
        <v>0</v>
      </c>
      <c r="AD187" s="12">
        <f t="shared" si="124"/>
        <v>0</v>
      </c>
      <c r="AE187" s="9">
        <f t="shared" si="125"/>
        <v>0</v>
      </c>
      <c r="AF187" s="9">
        <f t="shared" si="126"/>
        <v>0</v>
      </c>
      <c r="AG187" s="9">
        <f t="shared" si="127"/>
        <v>0</v>
      </c>
      <c r="AH187" s="9">
        <f t="shared" si="128"/>
        <v>0</v>
      </c>
      <c r="AI187" s="15">
        <f t="shared" si="129"/>
        <v>0</v>
      </c>
      <c r="AJ187" s="15">
        <f t="shared" si="130"/>
        <v>0</v>
      </c>
      <c r="AK187" s="15">
        <f t="shared" si="131"/>
        <v>0</v>
      </c>
      <c r="AL187" s="12">
        <f t="shared" si="132"/>
        <v>0</v>
      </c>
      <c r="AM187" s="12">
        <f t="shared" si="133"/>
        <v>0</v>
      </c>
      <c r="AN187" s="9">
        <f t="shared" si="134"/>
        <v>0</v>
      </c>
      <c r="AO187" s="9">
        <f t="shared" si="135"/>
        <v>0</v>
      </c>
      <c r="AP187" s="9">
        <f t="shared" si="136"/>
        <v>0</v>
      </c>
      <c r="AQ187" s="9">
        <f t="shared" si="137"/>
        <v>0</v>
      </c>
    </row>
    <row r="188">
      <c r="A188">
        <v>1205</v>
      </c>
      <c r="B188" s="1" t="s">
        <v>349</v>
      </c>
      <c r="C188">
        <v>0</v>
      </c>
      <c r="D188">
        <v>0</v>
      </c>
      <c r="E188">
        <v>0</v>
      </c>
      <c r="F188" s="12">
        <f t="shared" si="112"/>
        <v>0</v>
      </c>
      <c r="G188" s="9">
        <f t="shared" si="138"/>
        <v>0</v>
      </c>
      <c r="H188" s="9">
        <f t="shared" si="113"/>
        <v>0</v>
      </c>
      <c r="I188" s="9">
        <f t="shared" si="114"/>
        <v>0</v>
      </c>
      <c r="J188" s="9">
        <f t="shared" si="115"/>
        <v>0</v>
      </c>
      <c r="K188">
        <v>0</v>
      </c>
      <c r="L188">
        <v>0</v>
      </c>
      <c r="M188">
        <v>0</v>
      </c>
      <c r="N188" s="12">
        <f t="shared" si="116"/>
        <v>0</v>
      </c>
      <c r="O188" s="9">
        <f t="shared" si="139"/>
        <v>0</v>
      </c>
      <c r="P188" s="9">
        <f t="shared" si="117"/>
        <v>0</v>
      </c>
      <c r="Q188" s="9">
        <f t="shared" si="118"/>
        <v>0</v>
      </c>
      <c r="R188" s="9">
        <f t="shared" si="119"/>
        <v>0</v>
      </c>
      <c r="S188">
        <v>0</v>
      </c>
      <c r="T188">
        <v>0</v>
      </c>
      <c r="U188">
        <v>0</v>
      </c>
      <c r="V188" s="12">
        <f t="shared" si="120"/>
        <v>0</v>
      </c>
      <c r="W188" s="9">
        <f t="shared" si="140"/>
        <v>0</v>
      </c>
      <c r="X188" s="9">
        <f t="shared" si="121"/>
        <v>0</v>
      </c>
      <c r="Y188" s="9">
        <f t="shared" si="122"/>
        <v>0</v>
      </c>
      <c r="Z188" s="9">
        <f t="shared" si="123"/>
        <v>0</v>
      </c>
      <c r="AA188">
        <v>0</v>
      </c>
      <c r="AB188">
        <v>1</v>
      </c>
      <c r="AC188">
        <v>0</v>
      </c>
      <c r="AD188" s="12">
        <f t="shared" si="124"/>
        <v>0</v>
      </c>
      <c r="AE188" s="9">
        <f t="shared" si="125"/>
        <v>1</v>
      </c>
      <c r="AF188" s="9">
        <f t="shared" si="126"/>
        <v>1</v>
      </c>
      <c r="AG188" s="9">
        <f t="shared" si="127"/>
        <v>0</v>
      </c>
      <c r="AH188" s="9">
        <f t="shared" si="128"/>
        <v>1</v>
      </c>
      <c r="AI188" s="15">
        <f t="shared" si="129"/>
        <v>0</v>
      </c>
      <c r="AJ188" s="15">
        <f t="shared" si="130"/>
        <v>1</v>
      </c>
      <c r="AK188" s="15">
        <f t="shared" si="131"/>
        <v>0</v>
      </c>
      <c r="AL188" s="12">
        <f t="shared" si="132"/>
        <v>0</v>
      </c>
      <c r="AM188" s="12">
        <f t="shared" si="133"/>
        <v>0</v>
      </c>
      <c r="AN188" s="9">
        <f t="shared" si="134"/>
        <v>1</v>
      </c>
      <c r="AO188" s="9">
        <f t="shared" si="135"/>
        <v>1</v>
      </c>
      <c r="AP188" s="9">
        <f t="shared" si="136"/>
        <v>0</v>
      </c>
      <c r="AQ188" s="9">
        <f t="shared" si="137"/>
        <v>1</v>
      </c>
    </row>
    <row r="189">
      <c r="A189">
        <v>1206</v>
      </c>
      <c r="B189" s="1" t="s">
        <v>350</v>
      </c>
      <c r="C189">
        <v>0</v>
      </c>
      <c r="D189">
        <v>1</v>
      </c>
      <c r="E189">
        <v>0</v>
      </c>
      <c r="F189" s="12">
        <f t="shared" si="112"/>
        <v>0</v>
      </c>
      <c r="G189" s="9">
        <f t="shared" si="138"/>
        <v>1</v>
      </c>
      <c r="H189" s="9">
        <f t="shared" si="113"/>
        <v>1</v>
      </c>
      <c r="I189" s="9">
        <f t="shared" si="114"/>
        <v>0</v>
      </c>
      <c r="J189" s="9">
        <f t="shared" si="115"/>
        <v>1</v>
      </c>
      <c r="K189">
        <v>0</v>
      </c>
      <c r="L189">
        <v>0</v>
      </c>
      <c r="M189">
        <v>0</v>
      </c>
      <c r="N189" s="12">
        <f t="shared" si="116"/>
        <v>0</v>
      </c>
      <c r="O189" s="9">
        <f t="shared" si="139"/>
        <v>0</v>
      </c>
      <c r="P189" s="9">
        <f t="shared" si="117"/>
        <v>0</v>
      </c>
      <c r="Q189" s="9">
        <f t="shared" si="118"/>
        <v>0</v>
      </c>
      <c r="R189" s="9">
        <f t="shared" si="119"/>
        <v>0</v>
      </c>
      <c r="S189">
        <v>0</v>
      </c>
      <c r="T189">
        <v>0</v>
      </c>
      <c r="U189">
        <v>0</v>
      </c>
      <c r="V189" s="12">
        <f t="shared" si="120"/>
        <v>0</v>
      </c>
      <c r="W189" s="9">
        <f t="shared" si="140"/>
        <v>0</v>
      </c>
      <c r="X189" s="9">
        <f t="shared" si="121"/>
        <v>0</v>
      </c>
      <c r="Y189" s="9">
        <f t="shared" si="122"/>
        <v>0</v>
      </c>
      <c r="Z189" s="9">
        <f t="shared" si="123"/>
        <v>0</v>
      </c>
      <c r="AA189">
        <v>0</v>
      </c>
      <c r="AB189">
        <v>0</v>
      </c>
      <c r="AC189">
        <v>0</v>
      </c>
      <c r="AD189" s="12">
        <f t="shared" si="124"/>
        <v>0</v>
      </c>
      <c r="AE189" s="9">
        <f t="shared" si="125"/>
        <v>0</v>
      </c>
      <c r="AF189" s="9">
        <f t="shared" si="126"/>
        <v>0</v>
      </c>
      <c r="AG189" s="9">
        <f t="shared" si="127"/>
        <v>0</v>
      </c>
      <c r="AH189" s="9">
        <f t="shared" si="128"/>
        <v>0</v>
      </c>
      <c r="AI189" s="15">
        <f t="shared" si="129"/>
        <v>0</v>
      </c>
      <c r="AJ189" s="15">
        <f t="shared" si="130"/>
        <v>1</v>
      </c>
      <c r="AK189" s="15">
        <f t="shared" si="131"/>
        <v>0</v>
      </c>
      <c r="AL189" s="12">
        <f t="shared" si="132"/>
        <v>0</v>
      </c>
      <c r="AM189" s="12">
        <f t="shared" si="133"/>
        <v>0</v>
      </c>
      <c r="AN189" s="9">
        <f t="shared" si="134"/>
        <v>1</v>
      </c>
      <c r="AO189" s="9">
        <f t="shared" si="135"/>
        <v>1</v>
      </c>
      <c r="AP189" s="9">
        <f t="shared" si="136"/>
        <v>0</v>
      </c>
      <c r="AQ189" s="9">
        <f t="shared" si="137"/>
        <v>1</v>
      </c>
    </row>
    <row r="190">
      <c r="A190">
        <v>1213</v>
      </c>
      <c r="B190" s="1" t="s">
        <v>352</v>
      </c>
      <c r="C190">
        <v>0</v>
      </c>
      <c r="D190">
        <v>1</v>
      </c>
      <c r="E190">
        <v>0</v>
      </c>
      <c r="F190" s="12">
        <f t="shared" si="112"/>
        <v>0</v>
      </c>
      <c r="G190" s="9">
        <f t="shared" si="138"/>
        <v>1</v>
      </c>
      <c r="H190" s="9">
        <f t="shared" si="113"/>
        <v>1</v>
      </c>
      <c r="I190" s="9">
        <f t="shared" si="114"/>
        <v>0</v>
      </c>
      <c r="J190" s="9">
        <f t="shared" si="115"/>
        <v>1</v>
      </c>
      <c r="K190">
        <v>0</v>
      </c>
      <c r="L190">
        <v>0</v>
      </c>
      <c r="M190">
        <v>0</v>
      </c>
      <c r="N190" s="12">
        <f t="shared" si="116"/>
        <v>0</v>
      </c>
      <c r="O190" s="9">
        <f t="shared" si="139"/>
        <v>0</v>
      </c>
      <c r="P190" s="9">
        <f t="shared" si="117"/>
        <v>0</v>
      </c>
      <c r="Q190" s="9">
        <f t="shared" si="118"/>
        <v>0</v>
      </c>
      <c r="R190" s="9">
        <f t="shared" si="119"/>
        <v>0</v>
      </c>
      <c r="S190">
        <v>0</v>
      </c>
      <c r="T190">
        <v>0</v>
      </c>
      <c r="U190">
        <v>0</v>
      </c>
      <c r="V190" s="12">
        <f t="shared" si="120"/>
        <v>0</v>
      </c>
      <c r="W190" s="9">
        <f t="shared" si="140"/>
        <v>0</v>
      </c>
      <c r="X190" s="9">
        <f t="shared" si="121"/>
        <v>0</v>
      </c>
      <c r="Y190" s="9">
        <f t="shared" si="122"/>
        <v>0</v>
      </c>
      <c r="Z190" s="9">
        <f t="shared" si="123"/>
        <v>0</v>
      </c>
      <c r="AA190">
        <v>1</v>
      </c>
      <c r="AB190">
        <v>1</v>
      </c>
      <c r="AC190">
        <v>0</v>
      </c>
      <c r="AD190" s="12">
        <f t="shared" si="124"/>
        <v>1</v>
      </c>
      <c r="AE190" s="9">
        <f t="shared" si="125"/>
        <v>2</v>
      </c>
      <c r="AF190" s="9">
        <f t="shared" si="126"/>
        <v>2</v>
      </c>
      <c r="AG190" s="9">
        <f t="shared" si="127"/>
        <v>1</v>
      </c>
      <c r="AH190" s="9">
        <f t="shared" si="128"/>
        <v>1</v>
      </c>
      <c r="AI190" s="15">
        <f t="shared" si="129"/>
        <v>1</v>
      </c>
      <c r="AJ190" s="15">
        <f t="shared" si="130"/>
        <v>1</v>
      </c>
      <c r="AK190" s="15">
        <f t="shared" si="131"/>
        <v>0</v>
      </c>
      <c r="AL190" s="12">
        <f t="shared" si="132"/>
        <v>1</v>
      </c>
      <c r="AM190" s="12">
        <f t="shared" si="133"/>
        <v>1</v>
      </c>
      <c r="AN190" s="9">
        <f t="shared" si="134"/>
        <v>2</v>
      </c>
      <c r="AO190" s="9">
        <f t="shared" si="135"/>
        <v>2</v>
      </c>
      <c r="AP190" s="9">
        <f t="shared" si="136"/>
        <v>1</v>
      </c>
      <c r="AQ190" s="9">
        <f t="shared" si="137"/>
        <v>1</v>
      </c>
    </row>
    <row r="191">
      <c r="A191">
        <v>1226</v>
      </c>
      <c r="B191" s="1" t="s">
        <v>354</v>
      </c>
      <c r="C191">
        <v>0</v>
      </c>
      <c r="D191">
        <v>0</v>
      </c>
      <c r="E191">
        <v>0</v>
      </c>
      <c r="F191" s="12">
        <f t="shared" si="112"/>
        <v>0</v>
      </c>
      <c r="G191" s="9">
        <f t="shared" si="138"/>
        <v>0</v>
      </c>
      <c r="H191" s="9">
        <f t="shared" si="113"/>
        <v>0</v>
      </c>
      <c r="I191" s="9">
        <f t="shared" si="114"/>
        <v>0</v>
      </c>
      <c r="J191" s="9">
        <f t="shared" si="115"/>
        <v>0</v>
      </c>
      <c r="K191">
        <v>1</v>
      </c>
      <c r="L191">
        <v>1</v>
      </c>
      <c r="M191">
        <v>0</v>
      </c>
      <c r="N191" s="12">
        <f t="shared" si="116"/>
        <v>1</v>
      </c>
      <c r="O191" s="9">
        <f t="shared" si="139"/>
        <v>2</v>
      </c>
      <c r="P191" s="9">
        <f t="shared" si="117"/>
        <v>2</v>
      </c>
      <c r="Q191" s="9">
        <f t="shared" si="118"/>
        <v>1</v>
      </c>
      <c r="R191" s="9">
        <f t="shared" si="119"/>
        <v>1</v>
      </c>
      <c r="S191">
        <v>0</v>
      </c>
      <c r="T191">
        <v>0</v>
      </c>
      <c r="U191">
        <v>0</v>
      </c>
      <c r="V191" s="12">
        <f t="shared" si="120"/>
        <v>0</v>
      </c>
      <c r="W191" s="9">
        <f t="shared" si="140"/>
        <v>0</v>
      </c>
      <c r="X191" s="9">
        <f t="shared" si="121"/>
        <v>0</v>
      </c>
      <c r="Y191" s="9">
        <f t="shared" si="122"/>
        <v>0</v>
      </c>
      <c r="Z191" s="9">
        <f t="shared" si="123"/>
        <v>0</v>
      </c>
      <c r="AA191">
        <v>0</v>
      </c>
      <c r="AB191">
        <v>1</v>
      </c>
      <c r="AC191">
        <v>0</v>
      </c>
      <c r="AD191" s="12">
        <f t="shared" si="124"/>
        <v>0</v>
      </c>
      <c r="AE191" s="9">
        <f t="shared" si="125"/>
        <v>1</v>
      </c>
      <c r="AF191" s="9">
        <f t="shared" si="126"/>
        <v>1</v>
      </c>
      <c r="AG191" s="9">
        <f t="shared" si="127"/>
        <v>0</v>
      </c>
      <c r="AH191" s="9">
        <f t="shared" si="128"/>
        <v>1</v>
      </c>
      <c r="AI191" s="15">
        <f t="shared" si="129"/>
        <v>1</v>
      </c>
      <c r="AJ191" s="15">
        <f t="shared" si="130"/>
        <v>1</v>
      </c>
      <c r="AK191" s="15">
        <f t="shared" si="131"/>
        <v>0</v>
      </c>
      <c r="AL191" s="12">
        <f t="shared" si="132"/>
        <v>1</v>
      </c>
      <c r="AM191" s="12">
        <f t="shared" si="133"/>
        <v>1</v>
      </c>
      <c r="AN191" s="9">
        <f t="shared" si="134"/>
        <v>2</v>
      </c>
      <c r="AO191" s="9">
        <f t="shared" si="135"/>
        <v>2</v>
      </c>
      <c r="AP191" s="9">
        <f t="shared" si="136"/>
        <v>1</v>
      </c>
      <c r="AQ191" s="9">
        <f t="shared" si="137"/>
        <v>1</v>
      </c>
    </row>
    <row r="192">
      <c r="A192">
        <v>1232</v>
      </c>
      <c r="B192" s="1" t="s">
        <v>355</v>
      </c>
      <c r="C192">
        <v>0</v>
      </c>
      <c r="D192">
        <v>0</v>
      </c>
      <c r="E192">
        <v>0</v>
      </c>
      <c r="F192" s="12">
        <f t="shared" si="112"/>
        <v>0</v>
      </c>
      <c r="G192" s="9">
        <f t="shared" si="138"/>
        <v>0</v>
      </c>
      <c r="H192" s="9">
        <f t="shared" si="113"/>
        <v>0</v>
      </c>
      <c r="I192" s="9">
        <f t="shared" si="114"/>
        <v>0</v>
      </c>
      <c r="J192" s="9">
        <f t="shared" si="115"/>
        <v>0</v>
      </c>
      <c r="K192">
        <v>0</v>
      </c>
      <c r="L192">
        <v>0</v>
      </c>
      <c r="M192">
        <v>0</v>
      </c>
      <c r="N192" s="12">
        <f t="shared" si="116"/>
        <v>0</v>
      </c>
      <c r="O192" s="9">
        <f t="shared" si="139"/>
        <v>0</v>
      </c>
      <c r="P192" s="9">
        <f t="shared" si="117"/>
        <v>0</v>
      </c>
      <c r="Q192" s="9">
        <f t="shared" si="118"/>
        <v>0</v>
      </c>
      <c r="R192" s="9">
        <f t="shared" si="119"/>
        <v>0</v>
      </c>
      <c r="S192">
        <v>0</v>
      </c>
      <c r="T192">
        <v>0</v>
      </c>
      <c r="U192">
        <v>0</v>
      </c>
      <c r="V192" s="12">
        <f t="shared" si="120"/>
        <v>0</v>
      </c>
      <c r="W192" s="9">
        <f t="shared" si="140"/>
        <v>0</v>
      </c>
      <c r="X192" s="9">
        <f t="shared" si="121"/>
        <v>0</v>
      </c>
      <c r="Y192" s="9">
        <f t="shared" si="122"/>
        <v>0</v>
      </c>
      <c r="Z192" s="9">
        <f t="shared" si="123"/>
        <v>0</v>
      </c>
      <c r="AA192">
        <v>1</v>
      </c>
      <c r="AB192">
        <v>1</v>
      </c>
      <c r="AC192">
        <v>0</v>
      </c>
      <c r="AD192" s="12">
        <f t="shared" si="124"/>
        <v>1</v>
      </c>
      <c r="AE192" s="9">
        <f t="shared" si="125"/>
        <v>2</v>
      </c>
      <c r="AF192" s="9">
        <f t="shared" si="126"/>
        <v>2</v>
      </c>
      <c r="AG192" s="9">
        <f t="shared" si="127"/>
        <v>1</v>
      </c>
      <c r="AH192" s="9">
        <f t="shared" si="128"/>
        <v>1</v>
      </c>
      <c r="AI192" s="15">
        <f t="shared" si="129"/>
        <v>1</v>
      </c>
      <c r="AJ192" s="15">
        <f t="shared" si="130"/>
        <v>1</v>
      </c>
      <c r="AK192" s="15">
        <f t="shared" si="131"/>
        <v>0</v>
      </c>
      <c r="AL192" s="12">
        <f t="shared" si="132"/>
        <v>1</v>
      </c>
      <c r="AM192" s="12">
        <f t="shared" si="133"/>
        <v>1</v>
      </c>
      <c r="AN192" s="9">
        <f t="shared" si="134"/>
        <v>2</v>
      </c>
      <c r="AO192" s="9">
        <f t="shared" si="135"/>
        <v>2</v>
      </c>
      <c r="AP192" s="9">
        <f t="shared" si="136"/>
        <v>1</v>
      </c>
      <c r="AQ192" s="9">
        <f t="shared" si="137"/>
        <v>1</v>
      </c>
    </row>
    <row r="193" ht="29.100000000000001">
      <c r="A193">
        <v>1235</v>
      </c>
      <c r="B193" s="1" t="s">
        <v>357</v>
      </c>
      <c r="C193">
        <v>0</v>
      </c>
      <c r="D193">
        <v>0</v>
      </c>
      <c r="E193">
        <v>0</v>
      </c>
      <c r="F193" s="12">
        <f t="shared" si="112"/>
        <v>0</v>
      </c>
      <c r="G193" s="9">
        <f t="shared" si="138"/>
        <v>0</v>
      </c>
      <c r="H193" s="9">
        <f t="shared" si="113"/>
        <v>0</v>
      </c>
      <c r="I193" s="9">
        <f t="shared" si="114"/>
        <v>0</v>
      </c>
      <c r="J193" s="9">
        <f t="shared" si="115"/>
        <v>0</v>
      </c>
      <c r="K193">
        <v>0</v>
      </c>
      <c r="L193">
        <v>0</v>
      </c>
      <c r="M193">
        <v>0</v>
      </c>
      <c r="N193" s="12">
        <f t="shared" si="116"/>
        <v>0</v>
      </c>
      <c r="O193" s="9">
        <f t="shared" si="139"/>
        <v>0</v>
      </c>
      <c r="P193" s="9">
        <f t="shared" si="117"/>
        <v>0</v>
      </c>
      <c r="Q193" s="9">
        <f t="shared" si="118"/>
        <v>0</v>
      </c>
      <c r="R193" s="9">
        <f t="shared" si="119"/>
        <v>0</v>
      </c>
      <c r="S193">
        <v>0</v>
      </c>
      <c r="T193">
        <v>1</v>
      </c>
      <c r="U193">
        <v>1</v>
      </c>
      <c r="V193" s="12">
        <f t="shared" si="120"/>
        <v>1</v>
      </c>
      <c r="W193" s="9">
        <f t="shared" si="140"/>
        <v>2</v>
      </c>
      <c r="X193" s="9">
        <f t="shared" si="121"/>
        <v>1</v>
      </c>
      <c r="Y193" s="9">
        <f t="shared" si="122"/>
        <v>1</v>
      </c>
      <c r="Z193" s="9">
        <f t="shared" si="123"/>
        <v>2</v>
      </c>
      <c r="AA193">
        <v>0</v>
      </c>
      <c r="AB193">
        <v>0</v>
      </c>
      <c r="AC193">
        <v>0</v>
      </c>
      <c r="AD193" s="12">
        <f t="shared" si="124"/>
        <v>0</v>
      </c>
      <c r="AE193" s="9">
        <f t="shared" si="125"/>
        <v>0</v>
      </c>
      <c r="AF193" s="9">
        <f t="shared" si="126"/>
        <v>0</v>
      </c>
      <c r="AG193" s="9">
        <f t="shared" si="127"/>
        <v>0</v>
      </c>
      <c r="AH193" s="9">
        <f t="shared" si="128"/>
        <v>0</v>
      </c>
      <c r="AI193" s="15">
        <f t="shared" si="129"/>
        <v>0</v>
      </c>
      <c r="AJ193" s="15">
        <f t="shared" si="130"/>
        <v>1</v>
      </c>
      <c r="AK193" s="15">
        <f t="shared" si="131"/>
        <v>1</v>
      </c>
      <c r="AL193" s="12">
        <f t="shared" si="132"/>
        <v>1</v>
      </c>
      <c r="AM193" s="12">
        <f t="shared" si="133"/>
        <v>1</v>
      </c>
      <c r="AN193" s="9">
        <f t="shared" si="134"/>
        <v>2</v>
      </c>
      <c r="AO193" s="9">
        <f t="shared" si="135"/>
        <v>1</v>
      </c>
      <c r="AP193" s="9">
        <f t="shared" si="136"/>
        <v>1</v>
      </c>
      <c r="AQ193" s="9">
        <f t="shared" si="137"/>
        <v>2</v>
      </c>
    </row>
    <row r="194" ht="29.100000000000001">
      <c r="A194">
        <v>1247</v>
      </c>
      <c r="B194" s="1" t="s">
        <v>359</v>
      </c>
      <c r="C194">
        <v>0</v>
      </c>
      <c r="D194">
        <v>0</v>
      </c>
      <c r="E194">
        <v>0</v>
      </c>
      <c r="F194" s="12">
        <f t="shared" ref="F194:F201" si="141">IF(SUM(C194,D194,E194)&gt;=2,1,0)</f>
        <v>0</v>
      </c>
      <c r="G194" s="9">
        <f t="shared" si="138"/>
        <v>0</v>
      </c>
      <c r="H194" s="9">
        <f t="shared" ref="H194:H201" si="142">C194+D194</f>
        <v>0</v>
      </c>
      <c r="I194" s="9">
        <f t="shared" ref="I194:I201" si="143">C194+E194</f>
        <v>0</v>
      </c>
      <c r="J194" s="9">
        <f t="shared" ref="J194:J201" si="144">D194+E194</f>
        <v>0</v>
      </c>
      <c r="K194">
        <v>0</v>
      </c>
      <c r="L194">
        <v>0</v>
      </c>
      <c r="M194">
        <v>0</v>
      </c>
      <c r="N194" s="12">
        <f t="shared" ref="N194:N201" si="145">IF(SUM(K194,L194,M194)&gt;=2,1,0)</f>
        <v>0</v>
      </c>
      <c r="O194" s="9">
        <f t="shared" si="139"/>
        <v>0</v>
      </c>
      <c r="P194" s="9">
        <f t="shared" ref="P194:P201" si="146">K194+L194</f>
        <v>0</v>
      </c>
      <c r="Q194" s="9">
        <f t="shared" ref="Q194:Q201" si="147">K194+M194</f>
        <v>0</v>
      </c>
      <c r="R194" s="9">
        <f t="shared" ref="R194:R201" si="148">L194+M194</f>
        <v>0</v>
      </c>
      <c r="S194">
        <v>0</v>
      </c>
      <c r="T194">
        <v>0</v>
      </c>
      <c r="U194">
        <v>0</v>
      </c>
      <c r="V194" s="12">
        <f t="shared" ref="V194:V201" si="149">IF(SUM(S194,T194,U194)&gt;=2,1,0)</f>
        <v>0</v>
      </c>
      <c r="W194" s="9">
        <f t="shared" si="140"/>
        <v>0</v>
      </c>
      <c r="X194" s="9">
        <f t="shared" ref="X194:X201" si="150">S194+T194</f>
        <v>0</v>
      </c>
      <c r="Y194" s="9">
        <f t="shared" ref="Y194:Y201" si="151">S194+U194</f>
        <v>0</v>
      </c>
      <c r="Z194" s="9">
        <f t="shared" ref="Z194:Z201" si="152">T194+U194</f>
        <v>0</v>
      </c>
      <c r="AA194">
        <v>0</v>
      </c>
      <c r="AB194">
        <v>0</v>
      </c>
      <c r="AC194">
        <v>0</v>
      </c>
      <c r="AD194" s="12">
        <f t="shared" ref="AD194:AD201" si="153">IF(SUM(AA194,AB194,AC194)&gt;=2,1,0)</f>
        <v>0</v>
      </c>
      <c r="AE194" s="9">
        <f t="shared" ref="AE194:AE201" si="154">AA194+AB194+AC194</f>
        <v>0</v>
      </c>
      <c r="AF194" s="9">
        <f t="shared" ref="AF194:AF201" si="155">AA194+AB194</f>
        <v>0</v>
      </c>
      <c r="AG194" s="9">
        <f t="shared" ref="AG194:AG201" si="156">AA194+AC194</f>
        <v>0</v>
      </c>
      <c r="AH194" s="9">
        <f t="shared" ref="AH194:AH201" si="157">AB194+AC194</f>
        <v>0</v>
      </c>
      <c r="AI194" s="15">
        <f t="shared" ref="AI194:AI201" si="158">IF(SUM(C194+K194+S194+AA194)&gt;=1,1,0)</f>
        <v>0</v>
      </c>
      <c r="AJ194" s="15">
        <f t="shared" ref="AJ194:AJ201" si="159">IF(SUM(D194+L194+T194+AB194)&gt;=1,1,0)</f>
        <v>0</v>
      </c>
      <c r="AK194" s="15">
        <f t="shared" ref="AK194:AK201" si="160">IF(SUM(E194+M194+U194+AC194)&gt;=1,1,0)</f>
        <v>0</v>
      </c>
      <c r="AL194" s="12">
        <f t="shared" ref="AL194:AL201" si="161">IF(SUM(AI194,AJ194,AK194)&gt;=2,1,0)</f>
        <v>0</v>
      </c>
      <c r="AM194" s="12">
        <f t="shared" ref="AM194:AM201" si="162">IF(SUM(F194,N194,V194,AD194)&gt;=1,1,0)</f>
        <v>0</v>
      </c>
      <c r="AN194" s="9">
        <f t="shared" ref="AN194:AN201" si="163">AI194+AJ194+AK194</f>
        <v>0</v>
      </c>
      <c r="AO194" s="9">
        <f t="shared" ref="AO194:AO201" si="164">AI194+AJ194</f>
        <v>0</v>
      </c>
      <c r="AP194" s="9">
        <f t="shared" ref="AP194:AP201" si="165">AI194+AK194</f>
        <v>0</v>
      </c>
      <c r="AQ194" s="9">
        <f t="shared" ref="AQ194:AQ201" si="166">AJ194+AK194</f>
        <v>0</v>
      </c>
    </row>
    <row r="195">
      <c r="A195">
        <v>1248</v>
      </c>
      <c r="B195" s="1" t="s">
        <v>360</v>
      </c>
      <c r="C195">
        <v>0</v>
      </c>
      <c r="D195">
        <v>1</v>
      </c>
      <c r="E195">
        <v>0</v>
      </c>
      <c r="F195" s="12">
        <f t="shared" si="141"/>
        <v>0</v>
      </c>
      <c r="G195" s="9">
        <f t="shared" ref="G195:G201" si="167">C195+D195+E195</f>
        <v>1</v>
      </c>
      <c r="H195" s="9">
        <f t="shared" si="142"/>
        <v>1</v>
      </c>
      <c r="I195" s="9">
        <f t="shared" si="143"/>
        <v>0</v>
      </c>
      <c r="J195" s="9">
        <f t="shared" si="144"/>
        <v>1</v>
      </c>
      <c r="K195">
        <v>0</v>
      </c>
      <c r="L195">
        <v>0</v>
      </c>
      <c r="M195">
        <v>0</v>
      </c>
      <c r="N195" s="12">
        <f t="shared" si="145"/>
        <v>0</v>
      </c>
      <c r="O195" s="9">
        <f t="shared" ref="O195:O201" si="168">K195+L195+M195</f>
        <v>0</v>
      </c>
      <c r="P195" s="9">
        <f t="shared" si="146"/>
        <v>0</v>
      </c>
      <c r="Q195" s="9">
        <f t="shared" si="147"/>
        <v>0</v>
      </c>
      <c r="R195" s="9">
        <f t="shared" si="148"/>
        <v>0</v>
      </c>
      <c r="S195">
        <v>0</v>
      </c>
      <c r="T195">
        <v>0</v>
      </c>
      <c r="U195">
        <v>0</v>
      </c>
      <c r="V195" s="12">
        <f t="shared" si="149"/>
        <v>0</v>
      </c>
      <c r="W195" s="9">
        <f t="shared" ref="W195:W201" si="169">S195+T195+U195</f>
        <v>0</v>
      </c>
      <c r="X195" s="9">
        <f t="shared" si="150"/>
        <v>0</v>
      </c>
      <c r="Y195" s="9">
        <f t="shared" si="151"/>
        <v>0</v>
      </c>
      <c r="Z195" s="9">
        <f t="shared" si="152"/>
        <v>0</v>
      </c>
      <c r="AA195">
        <v>1</v>
      </c>
      <c r="AB195">
        <v>1</v>
      </c>
      <c r="AC195">
        <v>0</v>
      </c>
      <c r="AD195" s="12">
        <f t="shared" si="153"/>
        <v>1</v>
      </c>
      <c r="AE195" s="9">
        <f t="shared" si="154"/>
        <v>2</v>
      </c>
      <c r="AF195" s="9">
        <f t="shared" si="155"/>
        <v>2</v>
      </c>
      <c r="AG195" s="9">
        <f t="shared" si="156"/>
        <v>1</v>
      </c>
      <c r="AH195" s="9">
        <f t="shared" si="157"/>
        <v>1</v>
      </c>
      <c r="AI195" s="15">
        <f t="shared" si="158"/>
        <v>1</v>
      </c>
      <c r="AJ195" s="15">
        <f t="shared" si="159"/>
        <v>1</v>
      </c>
      <c r="AK195" s="15">
        <f t="shared" si="160"/>
        <v>0</v>
      </c>
      <c r="AL195" s="12">
        <f t="shared" si="161"/>
        <v>1</v>
      </c>
      <c r="AM195" s="12">
        <f t="shared" si="162"/>
        <v>1</v>
      </c>
      <c r="AN195" s="9">
        <f t="shared" si="163"/>
        <v>2</v>
      </c>
      <c r="AO195" s="9">
        <f t="shared" si="164"/>
        <v>2</v>
      </c>
      <c r="AP195" s="9">
        <f t="shared" si="165"/>
        <v>1</v>
      </c>
      <c r="AQ195" s="9">
        <f t="shared" si="166"/>
        <v>1</v>
      </c>
    </row>
    <row r="196" ht="29.100000000000001">
      <c r="A196">
        <v>1256</v>
      </c>
      <c r="B196" s="1" t="s">
        <v>362</v>
      </c>
      <c r="C196">
        <v>0</v>
      </c>
      <c r="D196">
        <v>0</v>
      </c>
      <c r="E196">
        <v>0</v>
      </c>
      <c r="F196" s="12">
        <f t="shared" si="141"/>
        <v>0</v>
      </c>
      <c r="G196" s="9">
        <f t="shared" si="167"/>
        <v>0</v>
      </c>
      <c r="H196" s="9">
        <f t="shared" si="142"/>
        <v>0</v>
      </c>
      <c r="I196" s="9">
        <f t="shared" si="143"/>
        <v>0</v>
      </c>
      <c r="J196" s="9">
        <f t="shared" si="144"/>
        <v>0</v>
      </c>
      <c r="K196">
        <v>0</v>
      </c>
      <c r="L196">
        <v>0</v>
      </c>
      <c r="M196">
        <v>0</v>
      </c>
      <c r="N196" s="12">
        <f t="shared" si="145"/>
        <v>0</v>
      </c>
      <c r="O196" s="9">
        <f t="shared" si="168"/>
        <v>0</v>
      </c>
      <c r="P196" s="9">
        <f t="shared" si="146"/>
        <v>0</v>
      </c>
      <c r="Q196" s="9">
        <f t="shared" si="147"/>
        <v>0</v>
      </c>
      <c r="R196" s="9">
        <f t="shared" si="148"/>
        <v>0</v>
      </c>
      <c r="S196">
        <v>0</v>
      </c>
      <c r="T196">
        <v>0</v>
      </c>
      <c r="U196">
        <v>0</v>
      </c>
      <c r="V196" s="12">
        <f t="shared" si="149"/>
        <v>0</v>
      </c>
      <c r="W196" s="9">
        <f t="shared" si="169"/>
        <v>0</v>
      </c>
      <c r="X196" s="9">
        <f t="shared" si="150"/>
        <v>0</v>
      </c>
      <c r="Y196" s="9">
        <f t="shared" si="151"/>
        <v>0</v>
      </c>
      <c r="Z196" s="9">
        <f t="shared" si="152"/>
        <v>0</v>
      </c>
      <c r="AA196">
        <v>1</v>
      </c>
      <c r="AB196">
        <v>1</v>
      </c>
      <c r="AC196">
        <v>1</v>
      </c>
      <c r="AD196" s="12">
        <f t="shared" si="153"/>
        <v>1</v>
      </c>
      <c r="AE196" s="9">
        <f t="shared" si="154"/>
        <v>3</v>
      </c>
      <c r="AF196" s="9">
        <f t="shared" si="155"/>
        <v>2</v>
      </c>
      <c r="AG196" s="9">
        <f t="shared" si="156"/>
        <v>2</v>
      </c>
      <c r="AH196" s="9">
        <f t="shared" si="157"/>
        <v>2</v>
      </c>
      <c r="AI196" s="15">
        <f t="shared" si="158"/>
        <v>1</v>
      </c>
      <c r="AJ196" s="15">
        <f t="shared" si="159"/>
        <v>1</v>
      </c>
      <c r="AK196" s="15">
        <f t="shared" si="160"/>
        <v>1</v>
      </c>
      <c r="AL196" s="12">
        <f t="shared" si="161"/>
        <v>1</v>
      </c>
      <c r="AM196" s="12">
        <f t="shared" si="162"/>
        <v>1</v>
      </c>
      <c r="AN196" s="9">
        <f t="shared" si="163"/>
        <v>3</v>
      </c>
      <c r="AO196" s="9">
        <f t="shared" si="164"/>
        <v>2</v>
      </c>
      <c r="AP196" s="9">
        <f t="shared" si="165"/>
        <v>2</v>
      </c>
      <c r="AQ196" s="9">
        <f t="shared" si="166"/>
        <v>2</v>
      </c>
    </row>
    <row r="197">
      <c r="A197">
        <v>1258</v>
      </c>
      <c r="B197" s="1" t="s">
        <v>365</v>
      </c>
      <c r="C197">
        <v>0</v>
      </c>
      <c r="D197">
        <v>0</v>
      </c>
      <c r="E197">
        <v>0</v>
      </c>
      <c r="F197" s="12">
        <f t="shared" si="141"/>
        <v>0</v>
      </c>
      <c r="G197" s="9">
        <f t="shared" si="167"/>
        <v>0</v>
      </c>
      <c r="H197" s="9">
        <f t="shared" si="142"/>
        <v>0</v>
      </c>
      <c r="I197" s="9">
        <f t="shared" si="143"/>
        <v>0</v>
      </c>
      <c r="J197" s="9">
        <f t="shared" si="144"/>
        <v>0</v>
      </c>
      <c r="K197">
        <v>0</v>
      </c>
      <c r="L197">
        <v>0</v>
      </c>
      <c r="M197">
        <v>0</v>
      </c>
      <c r="N197" s="12">
        <f t="shared" si="145"/>
        <v>0</v>
      </c>
      <c r="O197" s="9">
        <f t="shared" si="168"/>
        <v>0</v>
      </c>
      <c r="P197" s="9">
        <f t="shared" si="146"/>
        <v>0</v>
      </c>
      <c r="Q197" s="9">
        <f t="shared" si="147"/>
        <v>0</v>
      </c>
      <c r="R197" s="9">
        <f t="shared" si="148"/>
        <v>0</v>
      </c>
      <c r="S197">
        <v>0</v>
      </c>
      <c r="T197">
        <v>0</v>
      </c>
      <c r="U197">
        <v>0</v>
      </c>
      <c r="V197" s="12">
        <f t="shared" si="149"/>
        <v>0</v>
      </c>
      <c r="W197" s="9">
        <f t="shared" si="169"/>
        <v>0</v>
      </c>
      <c r="X197" s="9">
        <f t="shared" si="150"/>
        <v>0</v>
      </c>
      <c r="Y197" s="9">
        <f t="shared" si="151"/>
        <v>0</v>
      </c>
      <c r="Z197" s="9">
        <f t="shared" si="152"/>
        <v>0</v>
      </c>
      <c r="AA197">
        <v>0</v>
      </c>
      <c r="AB197">
        <v>0</v>
      </c>
      <c r="AC197">
        <v>0</v>
      </c>
      <c r="AD197" s="12">
        <f t="shared" si="153"/>
        <v>0</v>
      </c>
      <c r="AE197" s="9">
        <f t="shared" si="154"/>
        <v>0</v>
      </c>
      <c r="AF197" s="9">
        <f t="shared" si="155"/>
        <v>0</v>
      </c>
      <c r="AG197" s="9">
        <f t="shared" si="156"/>
        <v>0</v>
      </c>
      <c r="AH197" s="9">
        <f t="shared" si="157"/>
        <v>0</v>
      </c>
      <c r="AI197" s="15">
        <f t="shared" si="158"/>
        <v>0</v>
      </c>
      <c r="AJ197" s="15">
        <f t="shared" si="159"/>
        <v>0</v>
      </c>
      <c r="AK197" s="15">
        <f t="shared" si="160"/>
        <v>0</v>
      </c>
      <c r="AL197" s="12">
        <f t="shared" si="161"/>
        <v>0</v>
      </c>
      <c r="AM197" s="12">
        <f t="shared" si="162"/>
        <v>0</v>
      </c>
      <c r="AN197" s="9">
        <f t="shared" si="163"/>
        <v>0</v>
      </c>
      <c r="AO197" s="9">
        <f t="shared" si="164"/>
        <v>0</v>
      </c>
      <c r="AP197" s="9">
        <f t="shared" si="165"/>
        <v>0</v>
      </c>
      <c r="AQ197" s="9">
        <f t="shared" si="166"/>
        <v>0</v>
      </c>
    </row>
    <row r="198" ht="29.100000000000001">
      <c r="A198">
        <v>1261</v>
      </c>
      <c r="B198" s="1" t="s">
        <v>366</v>
      </c>
      <c r="C198">
        <v>0</v>
      </c>
      <c r="D198">
        <v>0</v>
      </c>
      <c r="E198">
        <v>0</v>
      </c>
      <c r="F198" s="12">
        <f t="shared" si="141"/>
        <v>0</v>
      </c>
      <c r="G198" s="9">
        <f t="shared" si="167"/>
        <v>0</v>
      </c>
      <c r="H198" s="9">
        <f t="shared" si="142"/>
        <v>0</v>
      </c>
      <c r="I198" s="9">
        <f t="shared" si="143"/>
        <v>0</v>
      </c>
      <c r="J198" s="9">
        <f t="shared" si="144"/>
        <v>0</v>
      </c>
      <c r="K198">
        <v>0</v>
      </c>
      <c r="L198">
        <v>0</v>
      </c>
      <c r="M198">
        <v>0</v>
      </c>
      <c r="N198" s="12">
        <f t="shared" si="145"/>
        <v>0</v>
      </c>
      <c r="O198" s="9">
        <f t="shared" si="168"/>
        <v>0</v>
      </c>
      <c r="P198" s="9">
        <f t="shared" si="146"/>
        <v>0</v>
      </c>
      <c r="Q198" s="9">
        <f t="shared" si="147"/>
        <v>0</v>
      </c>
      <c r="R198" s="9">
        <f t="shared" si="148"/>
        <v>0</v>
      </c>
      <c r="S198">
        <v>0</v>
      </c>
      <c r="T198">
        <v>0</v>
      </c>
      <c r="U198">
        <v>0</v>
      </c>
      <c r="V198" s="12">
        <f t="shared" si="149"/>
        <v>0</v>
      </c>
      <c r="W198" s="9">
        <f t="shared" si="169"/>
        <v>0</v>
      </c>
      <c r="X198" s="9">
        <f t="shared" si="150"/>
        <v>0</v>
      </c>
      <c r="Y198" s="9">
        <f t="shared" si="151"/>
        <v>0</v>
      </c>
      <c r="Z198" s="9">
        <f t="shared" si="152"/>
        <v>0</v>
      </c>
      <c r="AA198">
        <v>0</v>
      </c>
      <c r="AB198">
        <v>0</v>
      </c>
      <c r="AC198">
        <v>0</v>
      </c>
      <c r="AD198" s="12">
        <f t="shared" si="153"/>
        <v>0</v>
      </c>
      <c r="AE198" s="9">
        <f t="shared" si="154"/>
        <v>0</v>
      </c>
      <c r="AF198" s="9">
        <f t="shared" si="155"/>
        <v>0</v>
      </c>
      <c r="AG198" s="9">
        <f t="shared" si="156"/>
        <v>0</v>
      </c>
      <c r="AH198" s="9">
        <f t="shared" si="157"/>
        <v>0</v>
      </c>
      <c r="AI198" s="15">
        <f t="shared" si="158"/>
        <v>0</v>
      </c>
      <c r="AJ198" s="15">
        <f t="shared" si="159"/>
        <v>0</v>
      </c>
      <c r="AK198" s="15">
        <f t="shared" si="160"/>
        <v>0</v>
      </c>
      <c r="AL198" s="12">
        <f t="shared" si="161"/>
        <v>0</v>
      </c>
      <c r="AM198" s="12">
        <f t="shared" si="162"/>
        <v>0</v>
      </c>
      <c r="AN198" s="9">
        <f t="shared" si="163"/>
        <v>0</v>
      </c>
      <c r="AO198" s="9">
        <f t="shared" si="164"/>
        <v>0</v>
      </c>
      <c r="AP198" s="9">
        <f t="shared" si="165"/>
        <v>0</v>
      </c>
      <c r="AQ198" s="9">
        <f t="shared" si="166"/>
        <v>0</v>
      </c>
    </row>
    <row r="199">
      <c r="A199">
        <v>1270</v>
      </c>
      <c r="B199" s="1" t="s">
        <v>367</v>
      </c>
      <c r="C199">
        <v>1</v>
      </c>
      <c r="D199">
        <v>0</v>
      </c>
      <c r="E199">
        <v>0</v>
      </c>
      <c r="F199" s="12">
        <f t="shared" si="141"/>
        <v>0</v>
      </c>
      <c r="G199" s="9">
        <f t="shared" si="167"/>
        <v>1</v>
      </c>
      <c r="H199" s="9">
        <f t="shared" si="142"/>
        <v>1</v>
      </c>
      <c r="I199" s="9">
        <f t="shared" si="143"/>
        <v>1</v>
      </c>
      <c r="J199" s="9">
        <f t="shared" si="144"/>
        <v>0</v>
      </c>
      <c r="K199">
        <v>0</v>
      </c>
      <c r="L199">
        <v>0</v>
      </c>
      <c r="M199">
        <v>0</v>
      </c>
      <c r="N199" s="12">
        <f t="shared" si="145"/>
        <v>0</v>
      </c>
      <c r="O199" s="9">
        <f t="shared" si="168"/>
        <v>0</v>
      </c>
      <c r="P199" s="9">
        <f t="shared" si="146"/>
        <v>0</v>
      </c>
      <c r="Q199" s="9">
        <f t="shared" si="147"/>
        <v>0</v>
      </c>
      <c r="R199" s="9">
        <f t="shared" si="148"/>
        <v>0</v>
      </c>
      <c r="S199">
        <v>0</v>
      </c>
      <c r="T199">
        <v>1</v>
      </c>
      <c r="U199">
        <v>0</v>
      </c>
      <c r="V199" s="12">
        <f t="shared" si="149"/>
        <v>0</v>
      </c>
      <c r="W199" s="9">
        <f t="shared" si="169"/>
        <v>1</v>
      </c>
      <c r="X199" s="9">
        <f t="shared" si="150"/>
        <v>1</v>
      </c>
      <c r="Y199" s="9">
        <f t="shared" si="151"/>
        <v>0</v>
      </c>
      <c r="Z199" s="9">
        <f t="shared" si="152"/>
        <v>1</v>
      </c>
      <c r="AA199">
        <v>1</v>
      </c>
      <c r="AB199">
        <v>0</v>
      </c>
      <c r="AC199">
        <v>0</v>
      </c>
      <c r="AD199" s="12">
        <f t="shared" si="153"/>
        <v>0</v>
      </c>
      <c r="AE199" s="9">
        <f t="shared" si="154"/>
        <v>1</v>
      </c>
      <c r="AF199" s="9">
        <f t="shared" si="155"/>
        <v>1</v>
      </c>
      <c r="AG199" s="9">
        <f t="shared" si="156"/>
        <v>1</v>
      </c>
      <c r="AH199" s="9">
        <f t="shared" si="157"/>
        <v>0</v>
      </c>
      <c r="AI199" s="15">
        <f t="shared" si="158"/>
        <v>1</v>
      </c>
      <c r="AJ199" s="15">
        <f t="shared" si="159"/>
        <v>1</v>
      </c>
      <c r="AK199" s="15">
        <f t="shared" si="160"/>
        <v>0</v>
      </c>
      <c r="AL199" s="12">
        <f t="shared" si="161"/>
        <v>1</v>
      </c>
      <c r="AM199" s="12">
        <f t="shared" si="162"/>
        <v>0</v>
      </c>
      <c r="AN199" s="9">
        <f t="shared" si="163"/>
        <v>2</v>
      </c>
      <c r="AO199" s="9">
        <f t="shared" si="164"/>
        <v>2</v>
      </c>
      <c r="AP199" s="9">
        <f t="shared" si="165"/>
        <v>1</v>
      </c>
      <c r="AQ199" s="9">
        <f t="shared" si="166"/>
        <v>1</v>
      </c>
    </row>
    <row r="200" ht="29.100000000000001">
      <c r="A200">
        <v>1282</v>
      </c>
      <c r="B200" s="1" t="s">
        <v>369</v>
      </c>
      <c r="C200">
        <v>0</v>
      </c>
      <c r="D200">
        <v>0</v>
      </c>
      <c r="E200">
        <v>0</v>
      </c>
      <c r="F200" s="12">
        <f t="shared" si="141"/>
        <v>0</v>
      </c>
      <c r="G200" s="9">
        <f t="shared" si="167"/>
        <v>0</v>
      </c>
      <c r="H200" s="9">
        <f t="shared" si="142"/>
        <v>0</v>
      </c>
      <c r="I200" s="9">
        <f t="shared" si="143"/>
        <v>0</v>
      </c>
      <c r="J200" s="9">
        <f t="shared" si="144"/>
        <v>0</v>
      </c>
      <c r="K200">
        <v>0</v>
      </c>
      <c r="L200">
        <v>1</v>
      </c>
      <c r="M200">
        <v>0</v>
      </c>
      <c r="N200" s="12">
        <f t="shared" si="145"/>
        <v>0</v>
      </c>
      <c r="O200" s="9">
        <f t="shared" si="168"/>
        <v>1</v>
      </c>
      <c r="P200" s="9">
        <f t="shared" si="146"/>
        <v>1</v>
      </c>
      <c r="Q200" s="9">
        <f t="shared" si="147"/>
        <v>0</v>
      </c>
      <c r="R200" s="9">
        <f t="shared" si="148"/>
        <v>1</v>
      </c>
      <c r="S200">
        <v>1</v>
      </c>
      <c r="T200">
        <v>0</v>
      </c>
      <c r="U200">
        <v>1</v>
      </c>
      <c r="V200" s="12">
        <f t="shared" si="149"/>
        <v>1</v>
      </c>
      <c r="W200" s="9">
        <f t="shared" si="169"/>
        <v>2</v>
      </c>
      <c r="X200" s="9">
        <f t="shared" si="150"/>
        <v>1</v>
      </c>
      <c r="Y200" s="9">
        <f t="shared" si="151"/>
        <v>2</v>
      </c>
      <c r="Z200" s="9">
        <f t="shared" si="152"/>
        <v>1</v>
      </c>
      <c r="AA200">
        <v>0</v>
      </c>
      <c r="AB200">
        <v>0</v>
      </c>
      <c r="AC200">
        <v>0</v>
      </c>
      <c r="AD200" s="12">
        <f t="shared" si="153"/>
        <v>0</v>
      </c>
      <c r="AE200" s="9">
        <f t="shared" si="154"/>
        <v>0</v>
      </c>
      <c r="AF200" s="9">
        <f t="shared" si="155"/>
        <v>0</v>
      </c>
      <c r="AG200" s="9">
        <f t="shared" si="156"/>
        <v>0</v>
      </c>
      <c r="AH200" s="9">
        <f t="shared" si="157"/>
        <v>0</v>
      </c>
      <c r="AI200" s="15">
        <f t="shared" si="158"/>
        <v>1</v>
      </c>
      <c r="AJ200" s="15">
        <f t="shared" si="159"/>
        <v>1</v>
      </c>
      <c r="AK200" s="15">
        <f t="shared" si="160"/>
        <v>1</v>
      </c>
      <c r="AL200" s="12">
        <f t="shared" si="161"/>
        <v>1</v>
      </c>
      <c r="AM200" s="12">
        <f t="shared" si="162"/>
        <v>1</v>
      </c>
      <c r="AN200" s="9">
        <f t="shared" si="163"/>
        <v>3</v>
      </c>
      <c r="AO200" s="9">
        <f t="shared" si="164"/>
        <v>2</v>
      </c>
      <c r="AP200" s="9">
        <f t="shared" si="165"/>
        <v>2</v>
      </c>
      <c r="AQ200" s="9">
        <f t="shared" si="166"/>
        <v>2</v>
      </c>
    </row>
    <row r="201">
      <c r="A201">
        <v>1340</v>
      </c>
      <c r="B201" s="1" t="s">
        <v>371</v>
      </c>
      <c r="C201">
        <v>0</v>
      </c>
      <c r="D201">
        <v>0</v>
      </c>
      <c r="E201">
        <v>0</v>
      </c>
      <c r="F201" s="12">
        <f t="shared" si="141"/>
        <v>0</v>
      </c>
      <c r="G201" s="9">
        <f t="shared" si="167"/>
        <v>0</v>
      </c>
      <c r="H201" s="9">
        <f t="shared" si="142"/>
        <v>0</v>
      </c>
      <c r="I201" s="9">
        <f t="shared" si="143"/>
        <v>0</v>
      </c>
      <c r="J201" s="9">
        <f t="shared" si="144"/>
        <v>0</v>
      </c>
      <c r="K201">
        <v>0</v>
      </c>
      <c r="L201">
        <v>0</v>
      </c>
      <c r="M201">
        <v>0</v>
      </c>
      <c r="N201" s="12">
        <f t="shared" si="145"/>
        <v>0</v>
      </c>
      <c r="O201" s="9">
        <f t="shared" si="168"/>
        <v>0</v>
      </c>
      <c r="P201" s="9">
        <f t="shared" si="146"/>
        <v>0</v>
      </c>
      <c r="Q201" s="9">
        <f t="shared" si="147"/>
        <v>0</v>
      </c>
      <c r="R201" s="9">
        <f t="shared" si="148"/>
        <v>0</v>
      </c>
      <c r="S201">
        <v>0</v>
      </c>
      <c r="T201">
        <v>0</v>
      </c>
      <c r="U201">
        <v>0</v>
      </c>
      <c r="V201" s="12">
        <f t="shared" si="149"/>
        <v>0</v>
      </c>
      <c r="W201" s="9">
        <f t="shared" si="169"/>
        <v>0</v>
      </c>
      <c r="X201" s="9">
        <f t="shared" si="150"/>
        <v>0</v>
      </c>
      <c r="Y201" s="9">
        <f t="shared" si="151"/>
        <v>0</v>
      </c>
      <c r="Z201" s="9">
        <f t="shared" si="152"/>
        <v>0</v>
      </c>
      <c r="AA201">
        <v>0</v>
      </c>
      <c r="AB201">
        <v>0</v>
      </c>
      <c r="AC201">
        <v>0</v>
      </c>
      <c r="AD201" s="12">
        <f t="shared" si="153"/>
        <v>0</v>
      </c>
      <c r="AE201" s="9">
        <f t="shared" si="154"/>
        <v>0</v>
      </c>
      <c r="AF201" s="9">
        <f t="shared" si="155"/>
        <v>0</v>
      </c>
      <c r="AG201" s="9">
        <f t="shared" si="156"/>
        <v>0</v>
      </c>
      <c r="AH201" s="9">
        <f t="shared" si="157"/>
        <v>0</v>
      </c>
      <c r="AI201" s="15">
        <f t="shared" si="158"/>
        <v>0</v>
      </c>
      <c r="AJ201" s="15">
        <f t="shared" si="159"/>
        <v>0</v>
      </c>
      <c r="AK201" s="15">
        <f t="shared" si="160"/>
        <v>0</v>
      </c>
      <c r="AL201" s="12">
        <f t="shared" si="161"/>
        <v>0</v>
      </c>
      <c r="AM201" s="12">
        <f t="shared" si="162"/>
        <v>0</v>
      </c>
      <c r="AN201" s="9">
        <f t="shared" si="163"/>
        <v>0</v>
      </c>
      <c r="AO201" s="9">
        <f t="shared" si="164"/>
        <v>0</v>
      </c>
      <c r="AP201" s="9">
        <f t="shared" si="165"/>
        <v>0</v>
      </c>
      <c r="AQ201" s="9">
        <f t="shared" si="166"/>
        <v>0</v>
      </c>
    </row>
    <row r="202">
      <c r="C202" s="16">
        <f>SUM(C2:C201)</f>
        <v>28</v>
      </c>
      <c r="D202" s="16">
        <f>SUM(D2:D201)</f>
        <v>55</v>
      </c>
      <c r="E202" s="16">
        <f>SUM(E2:E201)</f>
        <v>28</v>
      </c>
      <c r="F202" s="16">
        <f>SUM(F2:F201)</f>
        <v>31</v>
      </c>
      <c r="G202">
        <f>COUNTIF(G2:G201,0)</f>
        <v>140</v>
      </c>
      <c r="H202">
        <f>COUNTIF(H2:H201,0)</f>
        <v>143</v>
      </c>
      <c r="I202">
        <f>COUNTIF(I2:I201,0)</f>
        <v>164</v>
      </c>
      <c r="J202">
        <f>COUNTIF(J2:J201,0)</f>
        <v>142</v>
      </c>
      <c r="K202" s="16">
        <f>SUM(K2:K201)</f>
        <v>22</v>
      </c>
      <c r="L202" s="16">
        <f>SUM(L2:L201)</f>
        <v>24</v>
      </c>
      <c r="M202" s="16">
        <f>SUM(M2:M201)</f>
        <v>4</v>
      </c>
      <c r="N202" s="16">
        <f>SUM(N2:N201)</f>
        <v>16</v>
      </c>
      <c r="O202">
        <f>COUNTIF(O2:O201,0)</f>
        <v>170</v>
      </c>
      <c r="P202">
        <f>COUNTIF(P2:P201,0)</f>
        <v>170</v>
      </c>
      <c r="Q202">
        <f>COUNTIF(Q2:Q201,0)</f>
        <v>178</v>
      </c>
      <c r="R202">
        <f>COUNTIF(R2:R201,0)</f>
        <v>176</v>
      </c>
      <c r="S202" s="16">
        <f>SUM(S2:S201)</f>
        <v>29</v>
      </c>
      <c r="T202" s="16">
        <f>SUM(T2:T201)</f>
        <v>30</v>
      </c>
      <c r="U202" s="16">
        <f>SUM(U2:U201)</f>
        <v>31</v>
      </c>
      <c r="V202" s="16">
        <f>SUM(V2:V201)</f>
        <v>30</v>
      </c>
      <c r="W202">
        <f>COUNTIF(W2:W201,0)</f>
        <v>149</v>
      </c>
      <c r="X202">
        <f>COUNTIF(X2:X201,0)</f>
        <v>153</v>
      </c>
      <c r="Y202">
        <f>COUNTIF(Y2:Y201,0)</f>
        <v>165</v>
      </c>
      <c r="Z202">
        <f>COUNTIF(Z2:Z201,0)</f>
        <v>150</v>
      </c>
      <c r="AA202" s="16">
        <f>SUM(AA2:AA201)</f>
        <v>27</v>
      </c>
      <c r="AB202" s="16">
        <f>SUM(AB2:AB201)</f>
        <v>44</v>
      </c>
      <c r="AC202" s="16">
        <f>SUM(AC2:AC201)</f>
        <v>23</v>
      </c>
      <c r="AD202" s="16">
        <f>SUM(AD2:AD201)</f>
        <v>31</v>
      </c>
      <c r="AE202">
        <f>COUNTIF(AE2:AE201,0)</f>
        <v>153</v>
      </c>
      <c r="AF202">
        <f>COUNTIF(AF2:AF201,0)</f>
        <v>155</v>
      </c>
      <c r="AG202">
        <f>COUNTIF(AG2:AG201,0)</f>
        <v>166</v>
      </c>
      <c r="AH202">
        <f>COUNTIF(AH2:AH201,0)</f>
        <v>154</v>
      </c>
      <c r="AI202" s="16">
        <f>SUM(AI2:AI201)</f>
        <v>95</v>
      </c>
      <c r="AJ202" s="16">
        <f>SUM(AJ2:AJ201)</f>
        <v>127</v>
      </c>
      <c r="AK202" s="16">
        <f>SUM(AK2:AK201)</f>
        <v>78</v>
      </c>
      <c r="AL202" s="16">
        <f>SUM(AL2:AL201)</f>
        <v>99</v>
      </c>
      <c r="AM202" s="16">
        <f>SUM(AM2:AM201)</f>
        <v>96</v>
      </c>
      <c r="AN202">
        <f>COUNTIF(AN2:AN201,0)</f>
        <v>64</v>
      </c>
      <c r="AO202">
        <f>COUNTIF(AO2:AO201,0)</f>
        <v>67</v>
      </c>
      <c r="AP202">
        <f>COUNTIF(AP2:AP201,0)</f>
        <v>96</v>
      </c>
      <c r="AQ202">
        <f>COUNTIF(AQ2:AQ201,0)</f>
        <v>66</v>
      </c>
    </row>
    <row r="203">
      <c r="C203" s="10">
        <f>SUM(C2:C201)/200</f>
        <v>0.14000000000000001</v>
      </c>
      <c r="D203" s="10">
        <f>SUM(D2:D201)/200</f>
        <v>0.27500000000000002</v>
      </c>
      <c r="E203" s="10">
        <f>SUM(E2:E201)/200</f>
        <v>0.14000000000000001</v>
      </c>
      <c r="F203" s="10">
        <f>SUM(F2:F201)/200</f>
        <v>0.155</v>
      </c>
      <c r="G203">
        <f>COUNTIF(G2:G201,1)</f>
        <v>29</v>
      </c>
      <c r="H203">
        <f>COUNTIF(H2:H201,1)</f>
        <v>31</v>
      </c>
      <c r="I203">
        <f>COUNTIF(I2:I201,1)</f>
        <v>16</v>
      </c>
      <c r="J203">
        <f>COUNTIF(J2:J201,1)</f>
        <v>33</v>
      </c>
      <c r="K203" s="10">
        <f>SUM(K2:K201)/200</f>
        <v>0.11</v>
      </c>
      <c r="L203" s="10">
        <f>SUM(L2:L201)/200</f>
        <v>0.12</v>
      </c>
      <c r="M203" s="10">
        <f>SUM(M2:M201)/200</f>
        <v>0.02</v>
      </c>
      <c r="N203" s="10">
        <f>SUM(N2:N201)/200</f>
        <v>0.080000000000000002</v>
      </c>
      <c r="O203">
        <f>COUNTIF(O2:O201,1)</f>
        <v>14</v>
      </c>
      <c r="P203">
        <f>COUNTIF(P2:P201,1)</f>
        <v>14</v>
      </c>
      <c r="Q203">
        <f>COUNTIF(Q2:Q201,1)</f>
        <v>18</v>
      </c>
      <c r="R203">
        <f>COUNTIF(R2:R201,1)</f>
        <v>20</v>
      </c>
      <c r="S203" s="10">
        <f>SUM(S2:S201)/200</f>
        <v>0.14499999999999999</v>
      </c>
      <c r="T203" s="10">
        <f>SUM(T2:T201)/200</f>
        <v>0.14999999999999999</v>
      </c>
      <c r="U203" s="10">
        <f>SUM(U2:U201)/200</f>
        <v>0.155</v>
      </c>
      <c r="V203" s="10">
        <f>SUM(V2:V201)/200</f>
        <v>0.14999999999999999</v>
      </c>
      <c r="W203">
        <f>COUNTIF(W2:W201,1)</f>
        <v>21</v>
      </c>
      <c r="X203">
        <f>COUNTIF(X2:X201,1)</f>
        <v>35</v>
      </c>
      <c r="Y203">
        <f>COUNTIF(Y2:Y201,1)</f>
        <v>10</v>
      </c>
      <c r="Z203">
        <f>COUNTIF(Z2:Z201,1)</f>
        <v>39</v>
      </c>
      <c r="AA203" s="10">
        <f>SUM(AA2:AA201)/200</f>
        <v>0.13500000000000001</v>
      </c>
      <c r="AB203" s="10">
        <f>SUM(AB2:AB201)/200</f>
        <v>0.22</v>
      </c>
      <c r="AC203" s="10">
        <f>SUM(AC2:AC201)/200</f>
        <v>0.115</v>
      </c>
      <c r="AD203" s="10">
        <f>SUM(AD2:AD201)/200</f>
        <v>0.155</v>
      </c>
      <c r="AE203">
        <f>COUNTIF(AE2:AE201,1)</f>
        <v>16</v>
      </c>
      <c r="AF203">
        <f>COUNTIF(AF2:AF201,1)</f>
        <v>19</v>
      </c>
      <c r="AG203">
        <f>COUNTIF(AG2:AG201,1)</f>
        <v>18</v>
      </c>
      <c r="AH203">
        <f>COUNTIF(AH2:AH201,1)</f>
        <v>25</v>
      </c>
      <c r="AI203" s="10">
        <f>SUM(AI2:AI201)/200</f>
        <v>0.47499999999999998</v>
      </c>
      <c r="AJ203" s="10">
        <f>SUM(AJ2:AJ201)/200</f>
        <v>0.63500000000000001</v>
      </c>
      <c r="AK203" s="10">
        <f>SUM(AK2:AK201)/200</f>
        <v>0.39000000000000001</v>
      </c>
      <c r="AL203" s="10">
        <f>SUM(AL2:AL201)/200</f>
        <v>0.495</v>
      </c>
      <c r="AM203" s="10">
        <f>SUM(AM2:AM201)/200</f>
        <v>0.47999999999999998</v>
      </c>
      <c r="AN203">
        <f>COUNTIF(AN2:AN201,1)</f>
        <v>37</v>
      </c>
      <c r="AO203">
        <f>COUNTIF(AO2:AO201,1)</f>
        <v>44</v>
      </c>
      <c r="AP203">
        <f>COUNTIF(AP2:AP201,1)</f>
        <v>35</v>
      </c>
      <c r="AQ203">
        <f>COUNTIF(AQ2:AQ201,1)</f>
        <v>63</v>
      </c>
    </row>
    <row r="204">
      <c r="G204">
        <f>COUNTIF(G2:G201,2)</f>
        <v>11</v>
      </c>
      <c r="H204">
        <f>COUNTIF(H2:H201,2)</f>
        <v>26</v>
      </c>
      <c r="I204">
        <f>COUNTIF(I2:I201,2)</f>
        <v>20</v>
      </c>
      <c r="J204">
        <f>COUNTIF(J2:J201,2)</f>
        <v>25</v>
      </c>
      <c r="O204">
        <f>COUNTIF(O2:O201,2)</f>
        <v>12</v>
      </c>
      <c r="P204">
        <f>COUNTIF(P2:P201,2)</f>
        <v>16</v>
      </c>
      <c r="Q204">
        <f>COUNTIF(Q2:Q201,2)</f>
        <v>4</v>
      </c>
      <c r="R204">
        <f>COUNTIF(R2:R201,2)</f>
        <v>4</v>
      </c>
      <c r="W204">
        <f>COUNTIF(W2:W201,2)</f>
        <v>21</v>
      </c>
      <c r="X204">
        <f>COUNTIF(X2:X201,2)</f>
        <v>12</v>
      </c>
      <c r="Y204">
        <f>COUNTIF(Y2:Y201,2)</f>
        <v>25</v>
      </c>
      <c r="Z204">
        <f>COUNTIF(Z2:Z201,2)</f>
        <v>11</v>
      </c>
      <c r="AE204">
        <f>COUNTIF(AE2:AE201,2)</f>
        <v>15</v>
      </c>
      <c r="AF204">
        <f>COUNTIF(AF2:AF201,2)</f>
        <v>26</v>
      </c>
      <c r="AG204">
        <f>COUNTIF(AG2:AG201,2)</f>
        <v>16</v>
      </c>
      <c r="AH204">
        <f>COUNTIF(AH2:AH201,2)</f>
        <v>21</v>
      </c>
      <c r="AN204">
        <f>COUNTIF(AN2:AN201,2)</f>
        <v>34</v>
      </c>
      <c r="AO204">
        <f>COUNTIF(AO2:AO201,2)</f>
        <v>89</v>
      </c>
      <c r="AP204">
        <f>COUNTIF(AP2:AP201,2)</f>
        <v>69</v>
      </c>
      <c r="AQ204">
        <f>COUNTIF(AQ2:AQ201,2)</f>
        <v>71</v>
      </c>
    </row>
    <row r="205">
      <c r="G205">
        <f>COUNTIF(G2:G202,3)</f>
        <v>20</v>
      </c>
      <c r="O205">
        <f>COUNTIF(O2:O202,3)</f>
        <v>4</v>
      </c>
      <c r="W205">
        <f>COUNTIF(W2:W202,3)</f>
        <v>9</v>
      </c>
      <c r="AE205">
        <f>COUNTIF(AE2:AE202,3)</f>
        <v>16</v>
      </c>
      <c r="AN205">
        <f>COUNTIF(AN2:AN202,3)</f>
        <v>65</v>
      </c>
    </row>
  </sheetData>
  <sortState ref="A2:AQ205">
    <sortCondition ref="A2:A205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2" activeCellId="0" sqref="A2"/>
    </sheetView>
  </sheetViews>
  <sheetFormatPr defaultColWidth="11.42578125" defaultRowHeight="14.449999999999999"/>
  <cols>
    <col customWidth="1" min="2" max="2" style="1" width="96.140625"/>
    <col min="6" max="6" style="15" width="10.85546875"/>
  </cols>
  <sheetData>
    <row r="1">
      <c r="A1" s="3" t="s">
        <v>0</v>
      </c>
      <c r="B1" s="4" t="s">
        <v>1</v>
      </c>
      <c r="C1" t="s">
        <v>375</v>
      </c>
      <c r="D1" t="s">
        <v>383</v>
      </c>
      <c r="E1" t="s">
        <v>391</v>
      </c>
      <c r="F1" s="15" t="s">
        <v>399</v>
      </c>
      <c r="G1" t="s">
        <v>5</v>
      </c>
    </row>
    <row r="2" ht="29.100000000000001">
      <c r="A2">
        <v>60</v>
      </c>
      <c r="B2" s="8" t="s">
        <v>15</v>
      </c>
      <c r="C2">
        <v>1</v>
      </c>
      <c r="D2">
        <v>0</v>
      </c>
      <c r="E2">
        <v>0</v>
      </c>
      <c r="F2" s="15">
        <v>0</v>
      </c>
      <c r="G2">
        <v>1</v>
      </c>
    </row>
    <row r="3">
      <c r="A3">
        <v>67</v>
      </c>
      <c r="B3" s="8" t="s">
        <v>19</v>
      </c>
      <c r="C3">
        <v>0</v>
      </c>
      <c r="D3">
        <v>0</v>
      </c>
      <c r="E3">
        <v>0</v>
      </c>
      <c r="F3" s="15">
        <v>0</v>
      </c>
      <c r="G3">
        <v>0</v>
      </c>
    </row>
    <row r="4">
      <c r="A4">
        <v>69</v>
      </c>
      <c r="B4" s="8" t="s">
        <v>21</v>
      </c>
      <c r="C4">
        <v>1</v>
      </c>
      <c r="D4">
        <v>0</v>
      </c>
      <c r="E4">
        <v>0</v>
      </c>
      <c r="F4" s="15">
        <v>0</v>
      </c>
      <c r="G4">
        <v>1</v>
      </c>
    </row>
    <row r="5">
      <c r="A5">
        <v>72</v>
      </c>
      <c r="B5" s="8" t="s">
        <v>24</v>
      </c>
      <c r="C5">
        <v>1</v>
      </c>
      <c r="D5">
        <v>0</v>
      </c>
      <c r="E5">
        <v>0</v>
      </c>
      <c r="F5" s="15">
        <v>0</v>
      </c>
      <c r="G5">
        <v>1</v>
      </c>
    </row>
    <row r="6">
      <c r="A6">
        <v>86</v>
      </c>
      <c r="B6" s="8" t="s">
        <v>27</v>
      </c>
      <c r="C6">
        <v>1</v>
      </c>
      <c r="D6">
        <v>0</v>
      </c>
      <c r="E6">
        <v>0</v>
      </c>
      <c r="F6" s="15">
        <v>0</v>
      </c>
      <c r="G6">
        <v>1</v>
      </c>
    </row>
    <row r="7">
      <c r="A7">
        <v>99</v>
      </c>
      <c r="B7" s="8" t="s">
        <v>31</v>
      </c>
      <c r="C7">
        <v>0</v>
      </c>
      <c r="D7">
        <v>0</v>
      </c>
      <c r="E7">
        <v>0</v>
      </c>
      <c r="F7" s="15">
        <v>1</v>
      </c>
      <c r="G7">
        <v>0</v>
      </c>
    </row>
    <row r="8">
      <c r="A8">
        <v>107</v>
      </c>
      <c r="B8" s="8" t="s">
        <v>33</v>
      </c>
      <c r="C8">
        <v>0</v>
      </c>
      <c r="D8">
        <v>0</v>
      </c>
      <c r="E8">
        <v>0</v>
      </c>
      <c r="F8" s="15">
        <v>0</v>
      </c>
      <c r="G8">
        <v>0</v>
      </c>
    </row>
    <row r="9">
      <c r="A9">
        <v>110</v>
      </c>
      <c r="B9" s="8" t="s">
        <v>35</v>
      </c>
      <c r="C9">
        <v>0</v>
      </c>
      <c r="D9">
        <v>1</v>
      </c>
      <c r="E9">
        <v>0</v>
      </c>
      <c r="F9" s="15">
        <v>0</v>
      </c>
      <c r="G9">
        <v>0</v>
      </c>
    </row>
    <row r="10">
      <c r="A10">
        <v>111</v>
      </c>
      <c r="B10" s="8" t="s">
        <v>36</v>
      </c>
      <c r="C10">
        <v>0</v>
      </c>
      <c r="D10">
        <v>0</v>
      </c>
      <c r="E10">
        <v>0</v>
      </c>
      <c r="F10" s="15">
        <v>0</v>
      </c>
      <c r="G10">
        <v>0</v>
      </c>
    </row>
    <row r="11">
      <c r="A11">
        <v>121</v>
      </c>
      <c r="B11" s="8" t="s">
        <v>38</v>
      </c>
      <c r="C11">
        <v>0</v>
      </c>
      <c r="D11">
        <v>0</v>
      </c>
      <c r="E11">
        <v>0</v>
      </c>
      <c r="F11" s="15">
        <v>0</v>
      </c>
      <c r="G11">
        <v>0</v>
      </c>
    </row>
    <row r="12">
      <c r="A12">
        <v>127</v>
      </c>
      <c r="B12" s="8" t="s">
        <v>39</v>
      </c>
      <c r="C12">
        <v>0</v>
      </c>
      <c r="D12">
        <v>0</v>
      </c>
      <c r="E12">
        <v>0</v>
      </c>
      <c r="F12" s="15">
        <v>0</v>
      </c>
      <c r="G12">
        <v>0</v>
      </c>
    </row>
    <row r="13">
      <c r="A13">
        <v>129</v>
      </c>
      <c r="B13" s="8" t="s">
        <v>40</v>
      </c>
      <c r="C13">
        <v>0</v>
      </c>
      <c r="D13">
        <v>0</v>
      </c>
      <c r="E13">
        <v>0</v>
      </c>
      <c r="F13" s="15">
        <v>0</v>
      </c>
      <c r="G13">
        <v>0</v>
      </c>
    </row>
    <row r="14">
      <c r="A14">
        <v>133</v>
      </c>
      <c r="B14" s="8" t="s">
        <v>41</v>
      </c>
      <c r="C14">
        <v>0</v>
      </c>
      <c r="D14">
        <v>0</v>
      </c>
      <c r="E14">
        <v>1</v>
      </c>
      <c r="F14" s="15">
        <v>0</v>
      </c>
      <c r="G14">
        <v>1</v>
      </c>
    </row>
    <row r="15" ht="29.100000000000001">
      <c r="A15">
        <v>135</v>
      </c>
      <c r="B15" s="8" t="s">
        <v>45</v>
      </c>
      <c r="C15">
        <v>0</v>
      </c>
      <c r="D15">
        <v>0</v>
      </c>
      <c r="E15">
        <v>0</v>
      </c>
      <c r="F15" s="15">
        <v>0</v>
      </c>
      <c r="G15">
        <v>0</v>
      </c>
    </row>
    <row r="16" ht="29.100000000000001">
      <c r="A16">
        <v>146</v>
      </c>
      <c r="B16" s="8" t="s">
        <v>47</v>
      </c>
      <c r="C16">
        <v>0</v>
      </c>
      <c r="D16">
        <v>0</v>
      </c>
      <c r="E16">
        <v>0</v>
      </c>
      <c r="F16" s="15">
        <v>0</v>
      </c>
      <c r="G16">
        <v>0</v>
      </c>
    </row>
    <row r="17">
      <c r="A17">
        <v>152</v>
      </c>
      <c r="B17" s="8" t="s">
        <v>49</v>
      </c>
      <c r="C17">
        <v>1</v>
      </c>
      <c r="D17">
        <v>0</v>
      </c>
      <c r="E17">
        <v>0</v>
      </c>
      <c r="F17" s="15">
        <v>0</v>
      </c>
      <c r="G17">
        <v>0</v>
      </c>
    </row>
    <row r="18">
      <c r="A18">
        <v>165</v>
      </c>
      <c r="B18" s="8" t="s">
        <v>51</v>
      </c>
      <c r="C18">
        <v>0</v>
      </c>
      <c r="D18">
        <v>0</v>
      </c>
      <c r="E18">
        <v>0</v>
      </c>
      <c r="F18" s="15">
        <v>0</v>
      </c>
      <c r="G18">
        <v>1</v>
      </c>
    </row>
    <row r="19">
      <c r="A19">
        <v>166</v>
      </c>
      <c r="B19" s="8" t="s">
        <v>54</v>
      </c>
      <c r="C19">
        <v>0</v>
      </c>
      <c r="D19">
        <v>0</v>
      </c>
      <c r="E19">
        <v>0</v>
      </c>
      <c r="F19" s="15">
        <v>1</v>
      </c>
      <c r="G19">
        <v>0</v>
      </c>
    </row>
    <row r="20">
      <c r="A20">
        <v>167</v>
      </c>
      <c r="B20" s="8" t="s">
        <v>55</v>
      </c>
      <c r="C20">
        <v>1</v>
      </c>
      <c r="D20">
        <v>1</v>
      </c>
      <c r="E20">
        <v>0</v>
      </c>
      <c r="F20" s="15">
        <v>0</v>
      </c>
      <c r="G20">
        <v>1</v>
      </c>
    </row>
    <row r="21" ht="29.100000000000001">
      <c r="A21">
        <v>173</v>
      </c>
      <c r="B21" s="8" t="s">
        <v>59</v>
      </c>
      <c r="C21">
        <v>0</v>
      </c>
      <c r="D21">
        <v>0</v>
      </c>
      <c r="E21">
        <v>1</v>
      </c>
      <c r="F21" s="15">
        <v>0</v>
      </c>
      <c r="G21">
        <v>0</v>
      </c>
    </row>
    <row r="22">
      <c r="A22">
        <v>176</v>
      </c>
      <c r="B22" s="8" t="s">
        <v>61</v>
      </c>
      <c r="C22">
        <v>0</v>
      </c>
      <c r="D22">
        <v>1</v>
      </c>
      <c r="E22">
        <v>0</v>
      </c>
      <c r="F22" s="15">
        <v>0</v>
      </c>
      <c r="G22">
        <v>0</v>
      </c>
    </row>
    <row r="23">
      <c r="A23">
        <v>180</v>
      </c>
      <c r="B23" s="8" t="s">
        <v>63</v>
      </c>
      <c r="C23">
        <v>0</v>
      </c>
      <c r="D23">
        <v>0</v>
      </c>
      <c r="E23">
        <v>1</v>
      </c>
      <c r="F23" s="15">
        <v>0</v>
      </c>
      <c r="G23">
        <v>0</v>
      </c>
    </row>
    <row r="24" ht="29.100000000000001">
      <c r="A24">
        <v>181</v>
      </c>
      <c r="B24" s="8" t="s">
        <v>64</v>
      </c>
      <c r="C24">
        <v>0</v>
      </c>
      <c r="D24">
        <v>0</v>
      </c>
      <c r="E24">
        <v>0</v>
      </c>
      <c r="F24" s="15">
        <v>0</v>
      </c>
      <c r="G24">
        <v>0</v>
      </c>
    </row>
    <row r="25">
      <c r="A25">
        <v>186</v>
      </c>
      <c r="B25" s="8" t="s">
        <v>65</v>
      </c>
      <c r="C25">
        <v>0</v>
      </c>
      <c r="D25">
        <v>0</v>
      </c>
      <c r="E25">
        <v>1</v>
      </c>
      <c r="F25" s="15">
        <v>0</v>
      </c>
      <c r="G25">
        <v>1</v>
      </c>
    </row>
    <row r="26" ht="29.100000000000001">
      <c r="A26">
        <v>187</v>
      </c>
      <c r="B26" s="8" t="s">
        <v>68</v>
      </c>
      <c r="C26">
        <v>0</v>
      </c>
      <c r="D26">
        <v>0</v>
      </c>
      <c r="E26">
        <v>0</v>
      </c>
      <c r="F26" s="15">
        <v>0</v>
      </c>
      <c r="G26">
        <v>0</v>
      </c>
    </row>
    <row r="27">
      <c r="A27">
        <v>195</v>
      </c>
      <c r="B27" s="8" t="s">
        <v>69</v>
      </c>
      <c r="C27">
        <v>0</v>
      </c>
      <c r="D27">
        <v>0</v>
      </c>
      <c r="E27">
        <v>0</v>
      </c>
      <c r="F27" s="15">
        <v>0</v>
      </c>
      <c r="G27">
        <v>0</v>
      </c>
    </row>
    <row r="28" ht="29.100000000000001">
      <c r="A28">
        <v>203</v>
      </c>
      <c r="B28" s="8" t="s">
        <v>70</v>
      </c>
      <c r="C28">
        <v>0</v>
      </c>
      <c r="D28">
        <v>1</v>
      </c>
      <c r="E28">
        <v>0</v>
      </c>
      <c r="F28" s="15">
        <v>0</v>
      </c>
      <c r="G28">
        <v>1</v>
      </c>
    </row>
    <row r="29">
      <c r="A29">
        <v>205</v>
      </c>
      <c r="B29" s="8" t="s">
        <v>73</v>
      </c>
      <c r="C29">
        <v>0</v>
      </c>
      <c r="D29">
        <v>0</v>
      </c>
      <c r="E29">
        <v>1</v>
      </c>
      <c r="F29" s="15">
        <v>1</v>
      </c>
      <c r="G29">
        <v>1</v>
      </c>
    </row>
    <row r="30">
      <c r="A30">
        <v>208</v>
      </c>
      <c r="B30" s="8" t="s">
        <v>76</v>
      </c>
      <c r="C30">
        <v>0</v>
      </c>
      <c r="D30">
        <v>0</v>
      </c>
      <c r="E30">
        <v>0</v>
      </c>
      <c r="F30" s="15">
        <v>0</v>
      </c>
      <c r="G30">
        <v>0</v>
      </c>
    </row>
    <row r="31">
      <c r="A31">
        <v>210</v>
      </c>
      <c r="B31" s="8" t="s">
        <v>77</v>
      </c>
      <c r="C31">
        <v>0</v>
      </c>
      <c r="D31">
        <v>0</v>
      </c>
      <c r="E31">
        <v>0</v>
      </c>
      <c r="F31" s="15">
        <v>0</v>
      </c>
      <c r="G31">
        <v>0</v>
      </c>
    </row>
    <row r="32">
      <c r="A32">
        <v>219</v>
      </c>
      <c r="B32" s="8" t="s">
        <v>78</v>
      </c>
      <c r="C32">
        <v>1</v>
      </c>
      <c r="D32">
        <v>1</v>
      </c>
      <c r="E32">
        <v>0</v>
      </c>
      <c r="F32" s="15">
        <v>0</v>
      </c>
      <c r="G32">
        <v>1</v>
      </c>
    </row>
    <row r="33">
      <c r="A33">
        <v>231</v>
      </c>
      <c r="B33" s="8" t="s">
        <v>81</v>
      </c>
      <c r="C33">
        <v>1</v>
      </c>
      <c r="D33">
        <v>0</v>
      </c>
      <c r="E33">
        <v>0</v>
      </c>
      <c r="F33" s="15">
        <v>0</v>
      </c>
      <c r="G33">
        <v>1</v>
      </c>
    </row>
    <row r="34">
      <c r="A34">
        <v>232</v>
      </c>
      <c r="B34" s="8" t="s">
        <v>85</v>
      </c>
      <c r="C34">
        <v>0</v>
      </c>
      <c r="D34">
        <v>0</v>
      </c>
      <c r="E34">
        <v>0</v>
      </c>
      <c r="F34" s="15">
        <v>1</v>
      </c>
      <c r="G34">
        <v>0</v>
      </c>
    </row>
    <row r="35">
      <c r="A35">
        <v>234</v>
      </c>
      <c r="B35" s="8" t="s">
        <v>87</v>
      </c>
      <c r="C35">
        <v>0</v>
      </c>
      <c r="D35">
        <v>0</v>
      </c>
      <c r="E35">
        <v>0</v>
      </c>
      <c r="F35" s="15">
        <v>1</v>
      </c>
      <c r="G35">
        <v>0</v>
      </c>
    </row>
    <row r="36">
      <c r="A36">
        <v>258</v>
      </c>
      <c r="B36" s="8" t="s">
        <v>88</v>
      </c>
      <c r="C36">
        <v>0</v>
      </c>
      <c r="D36">
        <v>0</v>
      </c>
      <c r="E36">
        <v>1</v>
      </c>
      <c r="F36" s="15">
        <v>0</v>
      </c>
      <c r="G36">
        <v>0</v>
      </c>
    </row>
    <row r="37">
      <c r="A37">
        <v>264</v>
      </c>
      <c r="B37" s="8" t="s">
        <v>90</v>
      </c>
      <c r="C37">
        <v>0</v>
      </c>
      <c r="D37">
        <v>0</v>
      </c>
      <c r="E37">
        <v>0</v>
      </c>
      <c r="F37" s="15">
        <v>0</v>
      </c>
      <c r="G37">
        <v>1</v>
      </c>
    </row>
    <row r="38">
      <c r="A38">
        <v>265</v>
      </c>
      <c r="B38" s="8" t="s">
        <v>92</v>
      </c>
      <c r="C38">
        <v>0</v>
      </c>
      <c r="D38">
        <v>0</v>
      </c>
      <c r="E38">
        <v>0</v>
      </c>
      <c r="F38" s="15">
        <v>0</v>
      </c>
      <c r="G38">
        <v>0</v>
      </c>
    </row>
    <row r="39">
      <c r="A39">
        <v>268</v>
      </c>
      <c r="B39" s="8" t="s">
        <v>94</v>
      </c>
      <c r="C39">
        <v>0</v>
      </c>
      <c r="D39">
        <v>0</v>
      </c>
      <c r="E39">
        <v>0</v>
      </c>
      <c r="F39" s="15">
        <v>0</v>
      </c>
      <c r="G39">
        <v>0</v>
      </c>
    </row>
    <row r="40" ht="29.100000000000001">
      <c r="A40">
        <v>271</v>
      </c>
      <c r="B40" s="8" t="s">
        <v>95</v>
      </c>
      <c r="C40">
        <v>0</v>
      </c>
      <c r="D40">
        <v>0</v>
      </c>
      <c r="E40">
        <v>0</v>
      </c>
      <c r="F40" s="15">
        <v>1</v>
      </c>
      <c r="G40">
        <v>1</v>
      </c>
    </row>
    <row r="41">
      <c r="A41">
        <v>274</v>
      </c>
      <c r="B41" s="8" t="s">
        <v>98</v>
      </c>
      <c r="C41">
        <v>0</v>
      </c>
      <c r="D41">
        <v>0</v>
      </c>
      <c r="E41">
        <v>1</v>
      </c>
      <c r="F41" s="15">
        <v>1</v>
      </c>
      <c r="G41">
        <v>1</v>
      </c>
    </row>
    <row r="42">
      <c r="A42">
        <v>278</v>
      </c>
      <c r="B42" s="8" t="s">
        <v>101</v>
      </c>
      <c r="C42">
        <v>1</v>
      </c>
      <c r="D42">
        <v>0</v>
      </c>
      <c r="E42">
        <v>0</v>
      </c>
      <c r="F42" s="15">
        <v>0</v>
      </c>
      <c r="G42">
        <v>1</v>
      </c>
    </row>
    <row r="43" ht="29.100000000000001">
      <c r="A43">
        <v>284</v>
      </c>
      <c r="B43" s="8" t="s">
        <v>104</v>
      </c>
      <c r="C43">
        <v>0</v>
      </c>
      <c r="D43">
        <v>0</v>
      </c>
      <c r="E43">
        <v>0</v>
      </c>
      <c r="F43" s="15">
        <v>0</v>
      </c>
      <c r="G43">
        <v>0</v>
      </c>
    </row>
    <row r="44">
      <c r="A44">
        <v>295</v>
      </c>
      <c r="B44" s="8" t="s">
        <v>105</v>
      </c>
      <c r="C44">
        <v>0</v>
      </c>
      <c r="D44">
        <v>0</v>
      </c>
      <c r="E44">
        <v>0</v>
      </c>
      <c r="F44" s="15">
        <v>0</v>
      </c>
      <c r="G44">
        <v>0</v>
      </c>
    </row>
    <row r="45" ht="29.100000000000001">
      <c r="A45">
        <v>298</v>
      </c>
      <c r="B45" s="8" t="s">
        <v>106</v>
      </c>
      <c r="C45">
        <v>0</v>
      </c>
      <c r="D45">
        <v>1</v>
      </c>
      <c r="E45">
        <v>0</v>
      </c>
      <c r="F45" s="15">
        <v>1</v>
      </c>
      <c r="G45">
        <v>0</v>
      </c>
    </row>
    <row r="46">
      <c r="A46">
        <v>319</v>
      </c>
      <c r="B46" s="8" t="s">
        <v>108</v>
      </c>
      <c r="C46">
        <v>0</v>
      </c>
      <c r="D46">
        <v>0</v>
      </c>
      <c r="E46">
        <v>0</v>
      </c>
      <c r="F46" s="15">
        <v>0</v>
      </c>
      <c r="G46">
        <v>0</v>
      </c>
    </row>
    <row r="47">
      <c r="A47">
        <v>323</v>
      </c>
      <c r="B47" s="8" t="s">
        <v>109</v>
      </c>
      <c r="C47">
        <v>0</v>
      </c>
      <c r="D47">
        <v>0</v>
      </c>
      <c r="E47">
        <v>0</v>
      </c>
      <c r="F47" s="15">
        <v>0</v>
      </c>
      <c r="G47">
        <v>0</v>
      </c>
    </row>
    <row r="48">
      <c r="A48">
        <v>325</v>
      </c>
      <c r="B48" s="8" t="s">
        <v>111</v>
      </c>
      <c r="C48">
        <v>0</v>
      </c>
      <c r="D48">
        <v>0</v>
      </c>
      <c r="E48">
        <v>0</v>
      </c>
      <c r="F48" s="15">
        <v>0</v>
      </c>
      <c r="G48">
        <v>0</v>
      </c>
    </row>
    <row r="49">
      <c r="A49">
        <v>337</v>
      </c>
      <c r="B49" s="8" t="s">
        <v>112</v>
      </c>
      <c r="C49">
        <v>1</v>
      </c>
      <c r="D49">
        <v>0</v>
      </c>
      <c r="E49">
        <v>1</v>
      </c>
      <c r="F49" s="15">
        <v>0</v>
      </c>
      <c r="G49">
        <v>1</v>
      </c>
    </row>
    <row r="50" ht="29.100000000000001">
      <c r="A50">
        <v>343</v>
      </c>
      <c r="B50" s="8" t="s">
        <v>114</v>
      </c>
      <c r="C50">
        <v>0</v>
      </c>
      <c r="D50">
        <v>0</v>
      </c>
      <c r="E50">
        <v>0</v>
      </c>
      <c r="F50" s="15">
        <v>0</v>
      </c>
      <c r="G50">
        <v>1</v>
      </c>
    </row>
    <row r="51">
      <c r="A51">
        <v>352</v>
      </c>
      <c r="B51" s="8" t="s">
        <v>118</v>
      </c>
      <c r="C51">
        <v>0</v>
      </c>
      <c r="D51">
        <v>1</v>
      </c>
      <c r="E51">
        <v>0</v>
      </c>
      <c r="F51" s="15">
        <v>0</v>
      </c>
      <c r="G51">
        <v>0</v>
      </c>
    </row>
    <row r="52">
      <c r="A52">
        <v>358</v>
      </c>
      <c r="B52" s="1" t="s">
        <v>120</v>
      </c>
      <c r="C52" s="17">
        <v>0</v>
      </c>
      <c r="D52" s="17">
        <v>0</v>
      </c>
      <c r="E52" s="17">
        <v>0</v>
      </c>
      <c r="F52" s="18">
        <v>0</v>
      </c>
      <c r="G52" s="17">
        <v>0</v>
      </c>
    </row>
    <row r="53">
      <c r="A53">
        <v>359</v>
      </c>
      <c r="B53" s="1" t="s">
        <v>121</v>
      </c>
      <c r="C53">
        <v>0</v>
      </c>
      <c r="D53">
        <v>0</v>
      </c>
      <c r="E53">
        <v>0</v>
      </c>
      <c r="F53" s="15">
        <v>0</v>
      </c>
      <c r="G53">
        <v>0</v>
      </c>
    </row>
    <row r="54">
      <c r="A54">
        <v>363</v>
      </c>
      <c r="B54" s="1" t="s">
        <v>122</v>
      </c>
      <c r="C54">
        <v>0</v>
      </c>
      <c r="D54">
        <v>0</v>
      </c>
      <c r="E54">
        <v>0</v>
      </c>
      <c r="F54" s="15">
        <v>0</v>
      </c>
      <c r="G54">
        <v>0</v>
      </c>
    </row>
    <row r="55">
      <c r="A55">
        <v>373</v>
      </c>
      <c r="B55" s="1" t="s">
        <v>123</v>
      </c>
      <c r="C55">
        <v>0</v>
      </c>
      <c r="D55">
        <v>0</v>
      </c>
      <c r="E55">
        <v>0</v>
      </c>
      <c r="F55" s="15">
        <v>0</v>
      </c>
      <c r="G55">
        <v>0</v>
      </c>
    </row>
    <row r="56">
      <c r="A56">
        <v>387</v>
      </c>
      <c r="B56" s="1" t="s">
        <v>124</v>
      </c>
      <c r="C56">
        <v>0</v>
      </c>
      <c r="D56">
        <v>0</v>
      </c>
      <c r="E56">
        <v>0</v>
      </c>
      <c r="F56" s="15">
        <v>0</v>
      </c>
      <c r="G56">
        <v>0</v>
      </c>
    </row>
    <row r="57">
      <c r="A57">
        <v>399</v>
      </c>
      <c r="B57" s="1" t="s">
        <v>125</v>
      </c>
      <c r="C57">
        <v>0</v>
      </c>
      <c r="D57">
        <v>0</v>
      </c>
      <c r="E57">
        <v>0</v>
      </c>
      <c r="F57" s="15">
        <v>0</v>
      </c>
      <c r="G57">
        <v>0</v>
      </c>
    </row>
    <row r="58">
      <c r="A58">
        <v>400</v>
      </c>
      <c r="B58" s="1" t="s">
        <v>126</v>
      </c>
      <c r="C58">
        <v>0</v>
      </c>
      <c r="D58">
        <v>0</v>
      </c>
      <c r="E58">
        <v>0</v>
      </c>
      <c r="F58" s="15">
        <v>0</v>
      </c>
      <c r="G58">
        <v>0</v>
      </c>
    </row>
    <row r="59">
      <c r="A59">
        <v>407</v>
      </c>
      <c r="B59" s="1" t="s">
        <v>127</v>
      </c>
      <c r="C59">
        <v>1</v>
      </c>
      <c r="D59">
        <v>0</v>
      </c>
      <c r="E59">
        <v>0</v>
      </c>
      <c r="F59" s="15">
        <v>0</v>
      </c>
      <c r="G59">
        <v>1</v>
      </c>
    </row>
    <row r="60">
      <c r="A60">
        <v>421</v>
      </c>
      <c r="B60" s="1" t="s">
        <v>130</v>
      </c>
      <c r="C60">
        <v>0</v>
      </c>
      <c r="D60">
        <v>0</v>
      </c>
      <c r="E60">
        <v>1</v>
      </c>
      <c r="F60" s="15">
        <v>0</v>
      </c>
      <c r="G60">
        <v>1</v>
      </c>
    </row>
    <row r="61">
      <c r="A61">
        <v>425</v>
      </c>
      <c r="B61" s="1" t="s">
        <v>133</v>
      </c>
      <c r="C61">
        <v>0</v>
      </c>
      <c r="D61">
        <v>0</v>
      </c>
      <c r="E61">
        <v>0</v>
      </c>
      <c r="F61" s="15">
        <v>0</v>
      </c>
      <c r="G61">
        <v>0</v>
      </c>
    </row>
    <row r="62">
      <c r="A62">
        <v>429</v>
      </c>
      <c r="B62" s="1" t="s">
        <v>135</v>
      </c>
      <c r="C62">
        <v>0</v>
      </c>
      <c r="D62">
        <v>0</v>
      </c>
      <c r="E62">
        <v>0</v>
      </c>
      <c r="F62" s="15">
        <v>0</v>
      </c>
      <c r="G62">
        <v>0</v>
      </c>
    </row>
    <row r="63">
      <c r="A63">
        <v>438</v>
      </c>
      <c r="B63" s="1" t="s">
        <v>136</v>
      </c>
      <c r="C63">
        <v>0</v>
      </c>
      <c r="D63">
        <v>0</v>
      </c>
      <c r="E63">
        <v>0</v>
      </c>
      <c r="F63" s="15">
        <v>0</v>
      </c>
      <c r="G63">
        <v>0</v>
      </c>
    </row>
    <row r="64">
      <c r="A64">
        <v>439</v>
      </c>
      <c r="B64" s="1" t="s">
        <v>137</v>
      </c>
      <c r="C64">
        <v>1</v>
      </c>
      <c r="D64">
        <v>0</v>
      </c>
      <c r="E64">
        <v>0</v>
      </c>
      <c r="F64" s="15">
        <v>0</v>
      </c>
      <c r="G64">
        <v>1</v>
      </c>
    </row>
    <row r="65">
      <c r="A65">
        <v>446</v>
      </c>
      <c r="B65" s="1" t="s">
        <v>140</v>
      </c>
      <c r="C65">
        <v>1</v>
      </c>
      <c r="D65">
        <v>0</v>
      </c>
      <c r="E65">
        <v>0</v>
      </c>
      <c r="F65" s="15">
        <v>0</v>
      </c>
      <c r="G65">
        <v>1</v>
      </c>
    </row>
    <row r="66">
      <c r="A66">
        <v>449</v>
      </c>
      <c r="B66" s="1" t="s">
        <v>135</v>
      </c>
      <c r="C66">
        <v>0</v>
      </c>
      <c r="D66">
        <v>0</v>
      </c>
      <c r="E66">
        <v>0</v>
      </c>
      <c r="F66" s="15">
        <v>0</v>
      </c>
      <c r="G66">
        <v>0</v>
      </c>
    </row>
    <row r="67">
      <c r="A67">
        <v>452</v>
      </c>
      <c r="B67" s="1" t="s">
        <v>142</v>
      </c>
      <c r="C67">
        <v>1</v>
      </c>
      <c r="D67">
        <v>1</v>
      </c>
      <c r="E67">
        <v>0</v>
      </c>
      <c r="F67" s="15">
        <v>0</v>
      </c>
      <c r="G67">
        <v>1</v>
      </c>
    </row>
    <row r="68">
      <c r="A68">
        <v>457</v>
      </c>
      <c r="B68" s="1" t="s">
        <v>146</v>
      </c>
      <c r="C68">
        <v>0</v>
      </c>
      <c r="D68">
        <v>0</v>
      </c>
      <c r="E68">
        <v>0</v>
      </c>
      <c r="F68" s="15">
        <v>1</v>
      </c>
      <c r="G68">
        <v>0</v>
      </c>
    </row>
    <row r="69">
      <c r="A69">
        <v>460</v>
      </c>
      <c r="B69" s="1" t="s">
        <v>147</v>
      </c>
      <c r="C69">
        <v>1</v>
      </c>
      <c r="D69">
        <v>0</v>
      </c>
      <c r="E69">
        <v>0</v>
      </c>
      <c r="F69" s="15">
        <v>0</v>
      </c>
      <c r="G69">
        <v>1</v>
      </c>
    </row>
    <row r="70">
      <c r="A70">
        <v>462</v>
      </c>
      <c r="B70" s="1" t="s">
        <v>150</v>
      </c>
      <c r="C70">
        <v>0</v>
      </c>
      <c r="D70">
        <v>0</v>
      </c>
      <c r="E70">
        <v>0</v>
      </c>
      <c r="F70" s="15">
        <v>1</v>
      </c>
      <c r="G70">
        <v>1</v>
      </c>
    </row>
    <row r="71">
      <c r="A71">
        <v>467</v>
      </c>
      <c r="B71" s="1" t="s">
        <v>153</v>
      </c>
      <c r="C71">
        <v>0</v>
      </c>
      <c r="D71">
        <v>0</v>
      </c>
      <c r="E71">
        <v>0</v>
      </c>
      <c r="F71" s="15">
        <v>0</v>
      </c>
      <c r="G71">
        <v>0</v>
      </c>
    </row>
    <row r="72">
      <c r="A72">
        <v>470</v>
      </c>
      <c r="B72" s="1" t="s">
        <v>154</v>
      </c>
      <c r="C72">
        <v>1</v>
      </c>
      <c r="D72">
        <v>0</v>
      </c>
      <c r="E72">
        <v>0</v>
      </c>
      <c r="F72" s="15">
        <v>0</v>
      </c>
      <c r="G72">
        <v>1</v>
      </c>
    </row>
    <row r="73">
      <c r="A73">
        <v>475</v>
      </c>
      <c r="B73" s="1" t="s">
        <v>158</v>
      </c>
      <c r="C73">
        <v>0</v>
      </c>
      <c r="D73">
        <v>0</v>
      </c>
      <c r="E73">
        <v>0</v>
      </c>
      <c r="F73" s="15">
        <v>0</v>
      </c>
      <c r="G73">
        <v>1</v>
      </c>
    </row>
    <row r="74">
      <c r="A74">
        <v>481</v>
      </c>
      <c r="B74" s="1" t="s">
        <v>161</v>
      </c>
      <c r="C74">
        <v>0</v>
      </c>
      <c r="D74">
        <v>0</v>
      </c>
      <c r="E74">
        <v>0</v>
      </c>
      <c r="F74" s="15">
        <v>0</v>
      </c>
      <c r="G74">
        <v>0</v>
      </c>
    </row>
    <row r="75">
      <c r="A75">
        <v>482</v>
      </c>
      <c r="B75" s="1" t="s">
        <v>162</v>
      </c>
      <c r="C75">
        <v>0</v>
      </c>
      <c r="D75">
        <v>0</v>
      </c>
      <c r="E75">
        <v>0</v>
      </c>
      <c r="F75" s="15">
        <v>0</v>
      </c>
      <c r="G75">
        <v>0</v>
      </c>
    </row>
    <row r="76">
      <c r="A76">
        <v>485</v>
      </c>
      <c r="B76" s="1" t="s">
        <v>163</v>
      </c>
      <c r="C76">
        <v>1</v>
      </c>
      <c r="D76">
        <v>0</v>
      </c>
      <c r="E76">
        <v>0</v>
      </c>
      <c r="F76" s="15">
        <v>0</v>
      </c>
      <c r="G76">
        <v>1</v>
      </c>
    </row>
    <row r="77" ht="29.100000000000001">
      <c r="A77">
        <v>490</v>
      </c>
      <c r="B77" s="1" t="s">
        <v>166</v>
      </c>
      <c r="C77">
        <v>1</v>
      </c>
      <c r="D77">
        <v>0</v>
      </c>
      <c r="E77">
        <v>0</v>
      </c>
      <c r="F77" s="15">
        <v>0</v>
      </c>
      <c r="G77">
        <v>0</v>
      </c>
    </row>
    <row r="78">
      <c r="A78">
        <v>491</v>
      </c>
      <c r="B78" s="1" t="s">
        <v>167</v>
      </c>
      <c r="C78">
        <v>1</v>
      </c>
      <c r="D78">
        <v>0</v>
      </c>
      <c r="E78">
        <v>0</v>
      </c>
      <c r="F78" s="15">
        <v>0</v>
      </c>
      <c r="G78">
        <v>0</v>
      </c>
    </row>
    <row r="79">
      <c r="A79">
        <v>492</v>
      </c>
      <c r="B79" s="1" t="s">
        <v>168</v>
      </c>
      <c r="C79">
        <v>0</v>
      </c>
      <c r="D79">
        <v>0</v>
      </c>
      <c r="E79">
        <v>1</v>
      </c>
      <c r="F79" s="15">
        <v>0</v>
      </c>
      <c r="G79">
        <v>1</v>
      </c>
    </row>
    <row r="80">
      <c r="A80">
        <v>496</v>
      </c>
      <c r="B80" s="1" t="s">
        <v>172</v>
      </c>
      <c r="C80">
        <v>0</v>
      </c>
      <c r="D80">
        <v>0</v>
      </c>
      <c r="E80">
        <v>0</v>
      </c>
      <c r="F80" s="15">
        <v>0</v>
      </c>
      <c r="G80">
        <v>0</v>
      </c>
    </row>
    <row r="81">
      <c r="A81">
        <v>503</v>
      </c>
      <c r="B81" s="1" t="s">
        <v>173</v>
      </c>
      <c r="C81">
        <v>0</v>
      </c>
      <c r="D81">
        <v>0</v>
      </c>
      <c r="E81">
        <v>0</v>
      </c>
      <c r="F81" s="15">
        <v>0</v>
      </c>
      <c r="G81">
        <v>0</v>
      </c>
    </row>
    <row r="82">
      <c r="A82">
        <v>508</v>
      </c>
      <c r="B82" s="1" t="s">
        <v>174</v>
      </c>
      <c r="C82">
        <v>0</v>
      </c>
      <c r="D82">
        <v>0</v>
      </c>
      <c r="E82">
        <v>0</v>
      </c>
      <c r="F82" s="15">
        <v>0</v>
      </c>
      <c r="G82">
        <v>0</v>
      </c>
    </row>
    <row r="83">
      <c r="A83">
        <v>509</v>
      </c>
      <c r="B83" s="1" t="s">
        <v>175</v>
      </c>
      <c r="C83">
        <v>0</v>
      </c>
      <c r="D83">
        <v>0</v>
      </c>
      <c r="E83">
        <v>0</v>
      </c>
      <c r="F83" s="15">
        <v>0</v>
      </c>
      <c r="G83">
        <v>0</v>
      </c>
    </row>
    <row r="84">
      <c r="A84">
        <v>525</v>
      </c>
      <c r="B84" s="1" t="s">
        <v>176</v>
      </c>
      <c r="C84">
        <v>0</v>
      </c>
      <c r="D84">
        <v>0</v>
      </c>
      <c r="E84">
        <v>0</v>
      </c>
      <c r="F84" s="15">
        <v>0</v>
      </c>
      <c r="G84">
        <v>0</v>
      </c>
    </row>
    <row r="85">
      <c r="A85">
        <v>527</v>
      </c>
      <c r="B85" s="1" t="s">
        <v>177</v>
      </c>
      <c r="C85">
        <v>0</v>
      </c>
      <c r="D85">
        <v>0</v>
      </c>
      <c r="E85">
        <v>0</v>
      </c>
      <c r="F85" s="15">
        <v>0</v>
      </c>
      <c r="G85">
        <v>0</v>
      </c>
    </row>
    <row r="86">
      <c r="A86">
        <v>532</v>
      </c>
      <c r="B86" s="1" t="s">
        <v>178</v>
      </c>
      <c r="C86">
        <v>0</v>
      </c>
      <c r="D86">
        <v>0</v>
      </c>
      <c r="E86">
        <v>0</v>
      </c>
      <c r="F86" s="15">
        <v>0</v>
      </c>
      <c r="G86">
        <v>0</v>
      </c>
    </row>
    <row r="87">
      <c r="A87">
        <v>534</v>
      </c>
      <c r="B87" s="1" t="s">
        <v>179</v>
      </c>
      <c r="C87">
        <v>0</v>
      </c>
      <c r="D87">
        <v>0</v>
      </c>
      <c r="E87">
        <v>0</v>
      </c>
      <c r="F87" s="15">
        <v>0</v>
      </c>
      <c r="G87">
        <v>1</v>
      </c>
    </row>
    <row r="88">
      <c r="A88">
        <v>535</v>
      </c>
      <c r="B88" s="1" t="s">
        <v>182</v>
      </c>
      <c r="C88">
        <v>0</v>
      </c>
      <c r="D88">
        <v>0</v>
      </c>
      <c r="E88">
        <v>0</v>
      </c>
      <c r="F88" s="15">
        <v>0</v>
      </c>
      <c r="G88">
        <v>0</v>
      </c>
    </row>
    <row r="89">
      <c r="A89">
        <v>538</v>
      </c>
      <c r="B89" s="1" t="s">
        <v>183</v>
      </c>
      <c r="C89">
        <v>0</v>
      </c>
      <c r="D89">
        <v>0</v>
      </c>
      <c r="E89">
        <v>0</v>
      </c>
      <c r="F89" s="15">
        <v>0</v>
      </c>
      <c r="G89">
        <v>0</v>
      </c>
    </row>
    <row r="90">
      <c r="A90">
        <v>540</v>
      </c>
      <c r="B90" s="1" t="s">
        <v>185</v>
      </c>
      <c r="C90">
        <v>0</v>
      </c>
      <c r="D90">
        <v>0</v>
      </c>
      <c r="E90">
        <v>0</v>
      </c>
      <c r="F90" s="15">
        <v>0</v>
      </c>
      <c r="G90">
        <v>0</v>
      </c>
    </row>
    <row r="91">
      <c r="A91">
        <v>550</v>
      </c>
      <c r="B91" s="1" t="s">
        <v>186</v>
      </c>
      <c r="C91">
        <v>1</v>
      </c>
      <c r="D91">
        <v>0</v>
      </c>
      <c r="E91">
        <v>0</v>
      </c>
      <c r="F91" s="15">
        <v>0</v>
      </c>
      <c r="G91">
        <v>1</v>
      </c>
    </row>
    <row r="92">
      <c r="A92">
        <v>558</v>
      </c>
      <c r="B92" s="1" t="s">
        <v>190</v>
      </c>
      <c r="C92">
        <v>0</v>
      </c>
      <c r="D92">
        <v>0</v>
      </c>
      <c r="E92">
        <v>0</v>
      </c>
      <c r="F92" s="15">
        <v>1</v>
      </c>
      <c r="G92">
        <v>0</v>
      </c>
    </row>
    <row r="93">
      <c r="A93">
        <v>559</v>
      </c>
      <c r="B93" s="1" t="s">
        <v>191</v>
      </c>
      <c r="C93">
        <v>0</v>
      </c>
      <c r="D93">
        <v>1</v>
      </c>
      <c r="E93">
        <v>0</v>
      </c>
      <c r="F93" s="15">
        <v>0</v>
      </c>
      <c r="G93">
        <v>0</v>
      </c>
    </row>
    <row r="94" ht="29.100000000000001">
      <c r="A94">
        <v>563</v>
      </c>
      <c r="B94" s="1" t="s">
        <v>192</v>
      </c>
      <c r="C94">
        <v>0</v>
      </c>
      <c r="D94">
        <v>0</v>
      </c>
      <c r="E94">
        <v>1</v>
      </c>
      <c r="F94" s="15">
        <v>0</v>
      </c>
      <c r="G94">
        <v>0</v>
      </c>
    </row>
    <row r="95">
      <c r="A95">
        <v>565</v>
      </c>
      <c r="B95" s="1" t="s">
        <v>193</v>
      </c>
      <c r="C95">
        <v>0</v>
      </c>
      <c r="D95">
        <v>0</v>
      </c>
      <c r="E95">
        <v>1</v>
      </c>
      <c r="F95" s="15">
        <v>0</v>
      </c>
      <c r="G95">
        <v>1</v>
      </c>
    </row>
    <row r="96">
      <c r="A96">
        <v>567</v>
      </c>
      <c r="B96" s="1" t="s">
        <v>196</v>
      </c>
      <c r="C96">
        <v>0</v>
      </c>
      <c r="D96">
        <v>1</v>
      </c>
      <c r="E96">
        <v>0</v>
      </c>
      <c r="F96" s="15">
        <v>0</v>
      </c>
      <c r="G96">
        <v>0</v>
      </c>
    </row>
    <row r="97">
      <c r="A97">
        <v>570</v>
      </c>
      <c r="B97" s="1" t="s">
        <v>197</v>
      </c>
      <c r="C97">
        <v>0</v>
      </c>
      <c r="D97">
        <v>0</v>
      </c>
      <c r="E97">
        <v>1</v>
      </c>
      <c r="F97" s="15">
        <v>1</v>
      </c>
      <c r="G97">
        <v>0</v>
      </c>
    </row>
    <row r="98" ht="29.100000000000001">
      <c r="A98">
        <v>571</v>
      </c>
      <c r="B98" s="1" t="s">
        <v>199</v>
      </c>
      <c r="C98">
        <v>0</v>
      </c>
      <c r="D98">
        <v>0</v>
      </c>
      <c r="E98">
        <v>0</v>
      </c>
      <c r="F98" s="15">
        <v>0</v>
      </c>
      <c r="G98">
        <v>0</v>
      </c>
    </row>
    <row r="99">
      <c r="A99">
        <v>575</v>
      </c>
      <c r="B99" s="1" t="s">
        <v>200</v>
      </c>
      <c r="C99">
        <v>0</v>
      </c>
      <c r="D99">
        <v>1</v>
      </c>
      <c r="E99">
        <v>0</v>
      </c>
      <c r="F99" s="15">
        <v>0</v>
      </c>
      <c r="G99">
        <v>0</v>
      </c>
    </row>
    <row r="100">
      <c r="A100">
        <v>577</v>
      </c>
      <c r="B100" s="1" t="s">
        <v>201</v>
      </c>
      <c r="C100">
        <v>0</v>
      </c>
      <c r="D100">
        <v>0</v>
      </c>
      <c r="E100">
        <v>1</v>
      </c>
      <c r="F100" s="15">
        <v>0</v>
      </c>
      <c r="G100">
        <v>1</v>
      </c>
    </row>
    <row r="101">
      <c r="A101">
        <v>586</v>
      </c>
      <c r="B101" s="1" t="s">
        <v>204</v>
      </c>
      <c r="C101">
        <v>0</v>
      </c>
      <c r="D101">
        <v>0</v>
      </c>
      <c r="E101">
        <v>0</v>
      </c>
      <c r="F101" s="15">
        <v>0</v>
      </c>
      <c r="G101">
        <v>0</v>
      </c>
    </row>
    <row r="102">
      <c r="A102">
        <v>600</v>
      </c>
      <c r="B102" s="1" t="s">
        <v>205</v>
      </c>
      <c r="C102">
        <v>1</v>
      </c>
      <c r="D102">
        <v>0</v>
      </c>
      <c r="E102">
        <v>0</v>
      </c>
      <c r="F102" s="15">
        <v>0</v>
      </c>
      <c r="G102">
        <v>1</v>
      </c>
    </row>
    <row r="103" ht="29.100000000000001">
      <c r="A103">
        <v>601</v>
      </c>
      <c r="B103" s="1" t="s">
        <v>207</v>
      </c>
      <c r="C103">
        <v>0</v>
      </c>
      <c r="D103">
        <v>0</v>
      </c>
      <c r="E103">
        <v>0</v>
      </c>
      <c r="F103" s="15">
        <v>1</v>
      </c>
      <c r="G103">
        <v>1</v>
      </c>
    </row>
    <row r="104" ht="29.100000000000001">
      <c r="A104">
        <v>608</v>
      </c>
      <c r="B104" s="1" t="s">
        <v>210</v>
      </c>
      <c r="C104">
        <v>0</v>
      </c>
      <c r="D104">
        <v>0</v>
      </c>
      <c r="E104">
        <v>0</v>
      </c>
      <c r="F104" s="15">
        <v>0</v>
      </c>
      <c r="G104">
        <v>0</v>
      </c>
    </row>
    <row r="105">
      <c r="A105">
        <v>609</v>
      </c>
      <c r="B105" s="1" t="s">
        <v>211</v>
      </c>
      <c r="C105">
        <v>0</v>
      </c>
      <c r="D105">
        <v>0</v>
      </c>
      <c r="E105">
        <v>0</v>
      </c>
      <c r="F105" s="15">
        <v>0</v>
      </c>
      <c r="G105">
        <v>0</v>
      </c>
    </row>
    <row r="106" ht="29.100000000000001">
      <c r="A106">
        <v>610</v>
      </c>
      <c r="B106" s="1" t="s">
        <v>212</v>
      </c>
      <c r="C106">
        <v>0</v>
      </c>
      <c r="D106">
        <v>0</v>
      </c>
      <c r="E106">
        <v>1</v>
      </c>
      <c r="F106" s="15">
        <v>0</v>
      </c>
      <c r="G106">
        <v>0</v>
      </c>
    </row>
    <row r="107">
      <c r="A107">
        <v>614</v>
      </c>
      <c r="B107" s="1" t="s">
        <v>213</v>
      </c>
      <c r="C107">
        <v>0</v>
      </c>
      <c r="D107">
        <v>0</v>
      </c>
      <c r="E107">
        <v>0</v>
      </c>
      <c r="F107" s="15">
        <v>0</v>
      </c>
      <c r="G107">
        <v>0</v>
      </c>
    </row>
    <row r="108">
      <c r="A108">
        <v>617</v>
      </c>
      <c r="B108" s="1" t="s">
        <v>214</v>
      </c>
      <c r="C108">
        <v>0</v>
      </c>
      <c r="D108">
        <v>0</v>
      </c>
      <c r="E108">
        <v>0</v>
      </c>
      <c r="F108" s="15">
        <v>0</v>
      </c>
      <c r="G108">
        <v>0</v>
      </c>
    </row>
    <row r="109" ht="29.100000000000001">
      <c r="A109">
        <v>622</v>
      </c>
      <c r="B109" s="1" t="s">
        <v>216</v>
      </c>
      <c r="C109">
        <v>0</v>
      </c>
      <c r="D109">
        <v>0</v>
      </c>
      <c r="E109">
        <v>0</v>
      </c>
      <c r="F109" s="15">
        <v>0</v>
      </c>
      <c r="G109">
        <v>0</v>
      </c>
    </row>
    <row r="110">
      <c r="A110">
        <v>629</v>
      </c>
      <c r="B110" s="1" t="s">
        <v>217</v>
      </c>
      <c r="C110">
        <v>1</v>
      </c>
      <c r="D110">
        <v>0</v>
      </c>
      <c r="E110">
        <v>0</v>
      </c>
      <c r="F110" s="15">
        <v>0</v>
      </c>
      <c r="G110">
        <v>1</v>
      </c>
    </row>
    <row r="111">
      <c r="A111">
        <v>635</v>
      </c>
      <c r="B111" s="1" t="s">
        <v>220</v>
      </c>
      <c r="C111">
        <v>0</v>
      </c>
      <c r="D111">
        <v>0</v>
      </c>
      <c r="E111">
        <v>1</v>
      </c>
      <c r="F111" s="15">
        <v>0</v>
      </c>
      <c r="G111">
        <v>1</v>
      </c>
    </row>
    <row r="112">
      <c r="A112">
        <v>658</v>
      </c>
      <c r="B112" s="1" t="s">
        <v>223</v>
      </c>
      <c r="C112">
        <v>0</v>
      </c>
      <c r="D112">
        <v>0</v>
      </c>
      <c r="E112">
        <v>0</v>
      </c>
      <c r="F112" s="15">
        <v>0</v>
      </c>
      <c r="G112">
        <v>0</v>
      </c>
    </row>
    <row r="113">
      <c r="A113">
        <v>667</v>
      </c>
      <c r="B113" s="1" t="s">
        <v>224</v>
      </c>
      <c r="C113">
        <v>0</v>
      </c>
      <c r="D113">
        <v>0</v>
      </c>
      <c r="E113">
        <v>0</v>
      </c>
      <c r="F113" s="15">
        <v>0</v>
      </c>
      <c r="G113">
        <v>0</v>
      </c>
    </row>
    <row r="114">
      <c r="A114">
        <v>671</v>
      </c>
      <c r="B114" s="1" t="s">
        <v>225</v>
      </c>
      <c r="C114">
        <v>0</v>
      </c>
      <c r="D114">
        <v>0</v>
      </c>
      <c r="E114">
        <v>0</v>
      </c>
      <c r="F114" s="15">
        <v>0</v>
      </c>
      <c r="G114">
        <v>0</v>
      </c>
    </row>
    <row r="115" ht="29.100000000000001">
      <c r="A115">
        <v>673</v>
      </c>
      <c r="B115" s="1" t="s">
        <v>226</v>
      </c>
      <c r="C115">
        <v>0</v>
      </c>
      <c r="D115">
        <v>0</v>
      </c>
      <c r="E115">
        <v>0</v>
      </c>
      <c r="F115" s="15">
        <v>0</v>
      </c>
      <c r="G115">
        <v>0</v>
      </c>
    </row>
    <row r="116" ht="29.100000000000001">
      <c r="A116">
        <v>674</v>
      </c>
      <c r="B116" s="1" t="s">
        <v>227</v>
      </c>
      <c r="C116">
        <v>0</v>
      </c>
      <c r="D116">
        <v>0</v>
      </c>
      <c r="E116">
        <v>1</v>
      </c>
      <c r="F116" s="15">
        <v>0</v>
      </c>
      <c r="G116">
        <v>0</v>
      </c>
    </row>
    <row r="117">
      <c r="A117">
        <v>675</v>
      </c>
      <c r="B117" s="1" t="s">
        <v>229</v>
      </c>
      <c r="C117">
        <v>0</v>
      </c>
      <c r="D117">
        <v>0</v>
      </c>
      <c r="E117">
        <v>0</v>
      </c>
      <c r="F117" s="15">
        <v>0</v>
      </c>
      <c r="G117">
        <v>0</v>
      </c>
    </row>
    <row r="118">
      <c r="A118">
        <v>676</v>
      </c>
      <c r="B118" s="1" t="s">
        <v>231</v>
      </c>
      <c r="C118">
        <v>1</v>
      </c>
      <c r="D118">
        <v>0</v>
      </c>
      <c r="E118">
        <v>1</v>
      </c>
      <c r="F118" s="15">
        <v>0</v>
      </c>
      <c r="G118">
        <v>1</v>
      </c>
    </row>
    <row r="119">
      <c r="A119">
        <v>679</v>
      </c>
      <c r="B119" s="1" t="s">
        <v>234</v>
      </c>
      <c r="C119">
        <v>1</v>
      </c>
      <c r="D119">
        <v>0</v>
      </c>
      <c r="E119">
        <v>0</v>
      </c>
      <c r="F119" s="15">
        <v>0</v>
      </c>
      <c r="G119">
        <v>1</v>
      </c>
    </row>
    <row r="120" ht="29.100000000000001">
      <c r="A120">
        <v>694</v>
      </c>
      <c r="B120" s="1" t="s">
        <v>237</v>
      </c>
      <c r="C120">
        <v>0</v>
      </c>
      <c r="D120">
        <v>0</v>
      </c>
      <c r="E120">
        <v>0</v>
      </c>
      <c r="F120" s="15">
        <v>1</v>
      </c>
      <c r="G120">
        <v>1</v>
      </c>
    </row>
    <row r="121">
      <c r="A121">
        <v>699</v>
      </c>
      <c r="B121" s="1" t="s">
        <v>240</v>
      </c>
      <c r="C121">
        <v>0</v>
      </c>
      <c r="D121">
        <v>1</v>
      </c>
      <c r="E121">
        <v>0</v>
      </c>
      <c r="F121" s="15">
        <v>0</v>
      </c>
      <c r="G121">
        <v>1</v>
      </c>
    </row>
    <row r="122">
      <c r="A122">
        <v>703</v>
      </c>
      <c r="B122" s="1" t="s">
        <v>243</v>
      </c>
      <c r="C122">
        <v>0</v>
      </c>
      <c r="D122">
        <v>0</v>
      </c>
      <c r="E122">
        <v>1</v>
      </c>
      <c r="F122" s="15">
        <v>0</v>
      </c>
      <c r="G122">
        <v>0</v>
      </c>
    </row>
    <row r="123">
      <c r="A123">
        <v>713</v>
      </c>
      <c r="B123" s="1" t="s">
        <v>244</v>
      </c>
      <c r="C123">
        <v>0</v>
      </c>
      <c r="D123">
        <v>0</v>
      </c>
      <c r="E123">
        <v>0</v>
      </c>
      <c r="F123" s="15">
        <v>0</v>
      </c>
      <c r="G123">
        <v>1</v>
      </c>
    </row>
    <row r="124" ht="29.100000000000001">
      <c r="A124">
        <v>717</v>
      </c>
      <c r="B124" s="1" t="s">
        <v>247</v>
      </c>
      <c r="C124">
        <v>1</v>
      </c>
      <c r="D124">
        <v>0</v>
      </c>
      <c r="E124">
        <v>0</v>
      </c>
      <c r="F124" s="15">
        <v>1</v>
      </c>
      <c r="G124">
        <v>0</v>
      </c>
    </row>
    <row r="125" ht="29.100000000000001">
      <c r="A125">
        <v>723</v>
      </c>
      <c r="B125" s="1" t="s">
        <v>248</v>
      </c>
      <c r="C125">
        <v>1</v>
      </c>
      <c r="D125">
        <v>0</v>
      </c>
      <c r="E125">
        <v>1</v>
      </c>
      <c r="F125" s="15">
        <v>0</v>
      </c>
      <c r="G125">
        <v>1</v>
      </c>
    </row>
    <row r="126">
      <c r="A126">
        <v>737</v>
      </c>
      <c r="B126" s="1" t="s">
        <v>251</v>
      </c>
      <c r="C126">
        <v>0</v>
      </c>
      <c r="D126">
        <v>0</v>
      </c>
      <c r="E126">
        <v>0</v>
      </c>
      <c r="F126" s="15">
        <v>0</v>
      </c>
      <c r="G126">
        <v>0</v>
      </c>
    </row>
    <row r="127" ht="29.100000000000001">
      <c r="A127">
        <v>739</v>
      </c>
      <c r="B127" s="1" t="s">
        <v>252</v>
      </c>
      <c r="C127">
        <v>0</v>
      </c>
      <c r="D127">
        <v>0</v>
      </c>
      <c r="E127">
        <v>1</v>
      </c>
      <c r="F127" s="15">
        <v>0</v>
      </c>
      <c r="G127">
        <v>1</v>
      </c>
    </row>
    <row r="128">
      <c r="A128">
        <v>744</v>
      </c>
      <c r="B128" s="1" t="s">
        <v>255</v>
      </c>
      <c r="C128">
        <v>0</v>
      </c>
      <c r="D128">
        <v>0</v>
      </c>
      <c r="E128">
        <v>0</v>
      </c>
      <c r="F128" s="15">
        <v>1</v>
      </c>
      <c r="G128">
        <v>1</v>
      </c>
    </row>
    <row r="129" ht="29.100000000000001">
      <c r="A129">
        <v>747</v>
      </c>
      <c r="B129" s="1" t="s">
        <v>258</v>
      </c>
      <c r="C129">
        <v>0</v>
      </c>
      <c r="D129">
        <v>0</v>
      </c>
      <c r="E129">
        <v>1</v>
      </c>
      <c r="F129" s="15">
        <v>0</v>
      </c>
      <c r="G129">
        <v>1</v>
      </c>
    </row>
    <row r="130">
      <c r="A130">
        <v>749</v>
      </c>
      <c r="B130" s="1" t="s">
        <v>261</v>
      </c>
      <c r="C130">
        <v>0</v>
      </c>
      <c r="D130">
        <v>0</v>
      </c>
      <c r="E130">
        <v>1</v>
      </c>
      <c r="F130" s="15">
        <v>0</v>
      </c>
      <c r="G130">
        <v>1</v>
      </c>
    </row>
    <row r="131" ht="29.100000000000001">
      <c r="A131">
        <v>750</v>
      </c>
      <c r="B131" s="1" t="s">
        <v>264</v>
      </c>
      <c r="C131">
        <v>0</v>
      </c>
      <c r="D131">
        <v>0</v>
      </c>
      <c r="E131">
        <v>0</v>
      </c>
      <c r="F131" s="15">
        <v>0</v>
      </c>
      <c r="G131">
        <v>0</v>
      </c>
    </row>
    <row r="132">
      <c r="A132">
        <v>754</v>
      </c>
      <c r="B132" s="1" t="s">
        <v>265</v>
      </c>
      <c r="C132">
        <v>0</v>
      </c>
      <c r="D132">
        <v>0</v>
      </c>
      <c r="E132">
        <v>0</v>
      </c>
      <c r="F132" s="15">
        <v>0</v>
      </c>
      <c r="G132">
        <v>0</v>
      </c>
    </row>
    <row r="133">
      <c r="A133">
        <v>757</v>
      </c>
      <c r="B133" s="1" t="s">
        <v>267</v>
      </c>
      <c r="C133">
        <v>0</v>
      </c>
      <c r="D133">
        <v>0</v>
      </c>
      <c r="E133">
        <v>0</v>
      </c>
      <c r="F133" s="15">
        <v>0</v>
      </c>
      <c r="G133">
        <v>0</v>
      </c>
    </row>
    <row r="134">
      <c r="A134">
        <v>766</v>
      </c>
      <c r="B134" s="1" t="s">
        <v>268</v>
      </c>
      <c r="C134">
        <v>0</v>
      </c>
      <c r="D134">
        <v>0</v>
      </c>
      <c r="E134">
        <v>0</v>
      </c>
      <c r="F134" s="15">
        <v>1</v>
      </c>
      <c r="G134">
        <v>0</v>
      </c>
    </row>
    <row r="135" ht="29.100000000000001">
      <c r="A135">
        <v>768</v>
      </c>
      <c r="B135" s="1" t="s">
        <v>269</v>
      </c>
      <c r="C135">
        <v>0</v>
      </c>
      <c r="D135">
        <v>0</v>
      </c>
      <c r="E135">
        <v>0</v>
      </c>
      <c r="F135" s="15">
        <v>0</v>
      </c>
      <c r="G135">
        <v>1</v>
      </c>
    </row>
    <row r="136" ht="29.100000000000001">
      <c r="A136">
        <v>788</v>
      </c>
      <c r="B136" s="1" t="s">
        <v>272</v>
      </c>
      <c r="C136">
        <v>1</v>
      </c>
      <c r="D136">
        <v>0</v>
      </c>
      <c r="E136">
        <v>0</v>
      </c>
      <c r="F136" s="15">
        <v>0</v>
      </c>
      <c r="G136">
        <v>1</v>
      </c>
    </row>
    <row r="137" ht="29.100000000000001">
      <c r="A137">
        <v>798</v>
      </c>
      <c r="B137" s="1" t="s">
        <v>275</v>
      </c>
      <c r="C137">
        <v>0</v>
      </c>
      <c r="D137">
        <v>0</v>
      </c>
      <c r="E137">
        <v>0</v>
      </c>
      <c r="F137" s="15">
        <v>0</v>
      </c>
      <c r="G137">
        <v>0</v>
      </c>
    </row>
    <row r="138">
      <c r="A138">
        <v>799</v>
      </c>
      <c r="B138" s="1" t="s">
        <v>276</v>
      </c>
      <c r="C138">
        <v>0</v>
      </c>
      <c r="D138">
        <v>0</v>
      </c>
      <c r="E138">
        <v>0</v>
      </c>
      <c r="F138" s="15">
        <v>0</v>
      </c>
      <c r="G138">
        <v>0</v>
      </c>
    </row>
    <row r="139">
      <c r="A139">
        <v>807</v>
      </c>
      <c r="B139" s="1" t="s">
        <v>277</v>
      </c>
      <c r="C139">
        <v>0</v>
      </c>
      <c r="D139">
        <v>1</v>
      </c>
      <c r="E139">
        <v>0</v>
      </c>
      <c r="F139" s="15">
        <v>0</v>
      </c>
      <c r="G139">
        <v>0</v>
      </c>
    </row>
    <row r="140">
      <c r="A140">
        <v>814</v>
      </c>
      <c r="B140" s="1" t="s">
        <v>278</v>
      </c>
      <c r="C140">
        <v>1</v>
      </c>
      <c r="D140">
        <v>0</v>
      </c>
      <c r="E140">
        <v>0</v>
      </c>
      <c r="F140" s="15">
        <v>0</v>
      </c>
      <c r="G140">
        <v>1</v>
      </c>
    </row>
    <row r="141">
      <c r="A141">
        <v>816</v>
      </c>
      <c r="B141" s="1" t="s">
        <v>280</v>
      </c>
      <c r="C141">
        <v>0</v>
      </c>
      <c r="D141">
        <v>0</v>
      </c>
      <c r="E141">
        <v>0</v>
      </c>
      <c r="F141" s="15">
        <v>1</v>
      </c>
      <c r="G141">
        <v>0</v>
      </c>
    </row>
    <row r="142">
      <c r="A142">
        <v>827</v>
      </c>
      <c r="B142" s="1" t="s">
        <v>281</v>
      </c>
      <c r="C142">
        <v>1</v>
      </c>
      <c r="D142">
        <v>0</v>
      </c>
      <c r="E142">
        <v>0</v>
      </c>
      <c r="F142" s="15">
        <v>0</v>
      </c>
      <c r="G142">
        <v>1</v>
      </c>
    </row>
    <row r="143">
      <c r="A143">
        <v>828</v>
      </c>
      <c r="B143" s="1" t="s">
        <v>285</v>
      </c>
      <c r="C143">
        <v>0</v>
      </c>
      <c r="D143">
        <v>0</v>
      </c>
      <c r="E143">
        <v>1</v>
      </c>
      <c r="F143" s="15">
        <v>0</v>
      </c>
      <c r="G143">
        <v>0</v>
      </c>
    </row>
    <row r="144">
      <c r="A144">
        <v>830</v>
      </c>
      <c r="B144" s="1" t="s">
        <v>287</v>
      </c>
      <c r="C144">
        <v>0</v>
      </c>
      <c r="D144">
        <v>0</v>
      </c>
      <c r="E144">
        <v>0</v>
      </c>
      <c r="F144" s="15">
        <v>0</v>
      </c>
      <c r="G144">
        <v>0</v>
      </c>
    </row>
    <row r="145">
      <c r="A145">
        <v>832</v>
      </c>
      <c r="B145" s="1" t="s">
        <v>288</v>
      </c>
      <c r="C145">
        <v>0</v>
      </c>
      <c r="D145">
        <v>1</v>
      </c>
      <c r="E145">
        <v>0</v>
      </c>
      <c r="F145" s="15">
        <v>0</v>
      </c>
      <c r="G145">
        <v>1</v>
      </c>
    </row>
    <row r="146">
      <c r="A146">
        <v>835</v>
      </c>
      <c r="B146" s="1" t="s">
        <v>292</v>
      </c>
      <c r="C146">
        <v>0</v>
      </c>
      <c r="D146">
        <v>0</v>
      </c>
      <c r="E146">
        <v>0</v>
      </c>
      <c r="F146" s="15">
        <v>0</v>
      </c>
      <c r="G146">
        <v>0</v>
      </c>
    </row>
    <row r="147">
      <c r="A147">
        <v>837</v>
      </c>
      <c r="B147" s="1" t="s">
        <v>293</v>
      </c>
      <c r="C147">
        <v>0</v>
      </c>
      <c r="D147">
        <v>0</v>
      </c>
      <c r="E147">
        <v>0</v>
      </c>
      <c r="F147" s="15">
        <v>0</v>
      </c>
      <c r="G147">
        <v>0</v>
      </c>
    </row>
    <row r="148">
      <c r="A148">
        <v>847</v>
      </c>
      <c r="B148" s="1" t="s">
        <v>295</v>
      </c>
      <c r="C148">
        <v>0</v>
      </c>
      <c r="D148">
        <v>0</v>
      </c>
      <c r="E148">
        <v>0</v>
      </c>
      <c r="F148" s="15">
        <v>1</v>
      </c>
      <c r="G148">
        <v>0</v>
      </c>
    </row>
    <row r="149" ht="29.100000000000001">
      <c r="A149">
        <v>851</v>
      </c>
      <c r="B149" s="1" t="s">
        <v>296</v>
      </c>
      <c r="C149">
        <v>0</v>
      </c>
      <c r="D149">
        <v>0</v>
      </c>
      <c r="E149">
        <v>0</v>
      </c>
      <c r="F149" s="15">
        <v>0</v>
      </c>
      <c r="G149">
        <v>0</v>
      </c>
    </row>
    <row r="150">
      <c r="A150">
        <v>858</v>
      </c>
      <c r="B150" s="1" t="s">
        <v>298</v>
      </c>
      <c r="C150">
        <v>0</v>
      </c>
      <c r="D150">
        <v>0</v>
      </c>
      <c r="E150">
        <v>0</v>
      </c>
      <c r="F150" s="15">
        <v>0</v>
      </c>
      <c r="G150">
        <v>0</v>
      </c>
    </row>
    <row r="151" ht="29.100000000000001">
      <c r="A151">
        <v>862</v>
      </c>
      <c r="B151" s="1" t="s">
        <v>299</v>
      </c>
      <c r="C151">
        <v>0</v>
      </c>
      <c r="D151">
        <v>0</v>
      </c>
      <c r="E151">
        <v>1</v>
      </c>
      <c r="F151" s="15">
        <v>0</v>
      </c>
      <c r="G151">
        <v>0</v>
      </c>
    </row>
    <row r="152">
      <c r="A152">
        <v>878</v>
      </c>
      <c r="B152" s="1" t="s">
        <v>300</v>
      </c>
      <c r="C152">
        <v>1</v>
      </c>
      <c r="D152">
        <v>0</v>
      </c>
      <c r="E152">
        <v>0</v>
      </c>
      <c r="F152" s="15">
        <v>0</v>
      </c>
      <c r="G152">
        <v>0</v>
      </c>
    </row>
    <row r="153">
      <c r="A153">
        <v>883</v>
      </c>
      <c r="B153" s="1" t="s">
        <v>301</v>
      </c>
      <c r="C153">
        <v>0</v>
      </c>
      <c r="D153">
        <v>0</v>
      </c>
      <c r="E153">
        <v>0</v>
      </c>
      <c r="F153" s="15">
        <v>0</v>
      </c>
      <c r="G153">
        <v>0</v>
      </c>
    </row>
    <row r="154">
      <c r="A154">
        <v>884</v>
      </c>
      <c r="B154" s="1" t="s">
        <v>303</v>
      </c>
      <c r="C154">
        <v>0</v>
      </c>
      <c r="D154">
        <v>0</v>
      </c>
      <c r="E154">
        <v>0</v>
      </c>
      <c r="F154" s="15">
        <v>0</v>
      </c>
      <c r="G154">
        <v>0</v>
      </c>
    </row>
    <row r="155">
      <c r="A155">
        <v>886</v>
      </c>
      <c r="B155" s="1" t="s">
        <v>304</v>
      </c>
      <c r="C155">
        <v>0</v>
      </c>
      <c r="D155">
        <v>0</v>
      </c>
      <c r="E155">
        <v>0</v>
      </c>
      <c r="F155" s="15">
        <v>0</v>
      </c>
      <c r="G155">
        <v>0</v>
      </c>
    </row>
    <row r="156">
      <c r="A156">
        <v>892</v>
      </c>
      <c r="B156" s="1" t="s">
        <v>305</v>
      </c>
      <c r="C156">
        <v>0</v>
      </c>
      <c r="D156">
        <v>0</v>
      </c>
      <c r="E156">
        <v>0</v>
      </c>
      <c r="F156" s="15">
        <v>0</v>
      </c>
      <c r="G156">
        <v>0</v>
      </c>
    </row>
    <row r="157">
      <c r="A157">
        <v>893</v>
      </c>
      <c r="B157" s="1" t="s">
        <v>307</v>
      </c>
      <c r="C157">
        <v>0</v>
      </c>
      <c r="D157">
        <v>0</v>
      </c>
      <c r="E157">
        <v>0</v>
      </c>
      <c r="F157" s="15">
        <v>0</v>
      </c>
      <c r="G157">
        <v>1</v>
      </c>
    </row>
    <row r="158">
      <c r="A158">
        <v>898</v>
      </c>
      <c r="B158" s="1" t="s">
        <v>309</v>
      </c>
      <c r="C158">
        <v>0</v>
      </c>
      <c r="D158">
        <v>0</v>
      </c>
      <c r="E158">
        <v>0</v>
      </c>
      <c r="F158" s="15">
        <v>1</v>
      </c>
      <c r="G158">
        <v>1</v>
      </c>
    </row>
    <row r="159">
      <c r="A159">
        <v>905</v>
      </c>
      <c r="B159" s="1" t="s">
        <v>311</v>
      </c>
      <c r="C159">
        <v>0</v>
      </c>
      <c r="D159">
        <v>1</v>
      </c>
      <c r="E159">
        <v>0</v>
      </c>
      <c r="F159" s="15">
        <v>1</v>
      </c>
      <c r="G159">
        <v>0</v>
      </c>
    </row>
    <row r="160">
      <c r="A160">
        <v>907</v>
      </c>
      <c r="B160" s="1" t="s">
        <v>313</v>
      </c>
      <c r="C160">
        <v>0</v>
      </c>
      <c r="D160">
        <v>0</v>
      </c>
      <c r="E160">
        <v>0</v>
      </c>
      <c r="F160" s="15">
        <v>0</v>
      </c>
      <c r="G160">
        <v>0</v>
      </c>
    </row>
    <row r="161">
      <c r="A161">
        <v>921</v>
      </c>
      <c r="B161" s="1" t="s">
        <v>314</v>
      </c>
      <c r="C161">
        <v>0</v>
      </c>
      <c r="D161">
        <v>0</v>
      </c>
      <c r="E161">
        <v>0</v>
      </c>
      <c r="F161" s="15">
        <v>0</v>
      </c>
      <c r="G161">
        <v>0</v>
      </c>
    </row>
    <row r="162">
      <c r="A162">
        <v>931</v>
      </c>
      <c r="B162" s="1" t="s">
        <v>316</v>
      </c>
      <c r="C162">
        <v>0</v>
      </c>
      <c r="D162">
        <v>0</v>
      </c>
      <c r="E162">
        <v>0</v>
      </c>
      <c r="F162" s="15">
        <v>0</v>
      </c>
      <c r="G162">
        <v>0</v>
      </c>
    </row>
    <row r="163">
      <c r="A163">
        <v>937</v>
      </c>
      <c r="B163" s="1" t="s">
        <v>317</v>
      </c>
      <c r="C163" s="12">
        <v>0</v>
      </c>
      <c r="D163" s="12">
        <v>0</v>
      </c>
      <c r="E163" s="12">
        <v>0</v>
      </c>
      <c r="F163" s="12">
        <v>1</v>
      </c>
      <c r="G163" s="12">
        <v>0</v>
      </c>
    </row>
    <row r="164">
      <c r="A164">
        <v>944</v>
      </c>
      <c r="B164" s="1" t="s">
        <v>318</v>
      </c>
      <c r="C164">
        <v>0</v>
      </c>
      <c r="D164">
        <v>0</v>
      </c>
      <c r="E164">
        <v>0</v>
      </c>
      <c r="F164" s="15">
        <v>0</v>
      </c>
      <c r="G164">
        <v>0</v>
      </c>
    </row>
    <row r="165">
      <c r="A165">
        <v>954</v>
      </c>
      <c r="B165" s="1" t="s">
        <v>319</v>
      </c>
      <c r="C165">
        <v>0</v>
      </c>
      <c r="D165">
        <v>0</v>
      </c>
      <c r="E165">
        <v>0</v>
      </c>
      <c r="F165" s="15">
        <v>1</v>
      </c>
      <c r="G165">
        <v>0</v>
      </c>
    </row>
    <row r="166">
      <c r="A166">
        <v>960</v>
      </c>
      <c r="B166" s="1" t="s">
        <v>320</v>
      </c>
      <c r="C166">
        <v>0</v>
      </c>
      <c r="D166">
        <v>0</v>
      </c>
      <c r="E166">
        <v>1</v>
      </c>
      <c r="F166" s="15">
        <v>0</v>
      </c>
      <c r="G166">
        <v>0</v>
      </c>
    </row>
    <row r="167" ht="29.100000000000001">
      <c r="A167">
        <v>962</v>
      </c>
      <c r="B167" s="1" t="s">
        <v>321</v>
      </c>
      <c r="C167">
        <v>0</v>
      </c>
      <c r="D167">
        <v>0</v>
      </c>
      <c r="E167">
        <v>0</v>
      </c>
      <c r="F167" s="15">
        <v>1</v>
      </c>
      <c r="G167">
        <v>0</v>
      </c>
    </row>
    <row r="168">
      <c r="A168">
        <v>968</v>
      </c>
      <c r="B168" s="1" t="s">
        <v>322</v>
      </c>
      <c r="C168">
        <v>0</v>
      </c>
      <c r="D168">
        <v>0</v>
      </c>
      <c r="E168">
        <v>0</v>
      </c>
      <c r="F168" s="15">
        <v>0</v>
      </c>
      <c r="G168">
        <v>0</v>
      </c>
    </row>
    <row r="169">
      <c r="A169">
        <v>969</v>
      </c>
      <c r="B169" s="1" t="s">
        <v>323</v>
      </c>
      <c r="C169">
        <v>0</v>
      </c>
      <c r="D169">
        <v>0</v>
      </c>
      <c r="E169">
        <v>0</v>
      </c>
      <c r="F169" s="15">
        <v>0</v>
      </c>
      <c r="G169">
        <v>0</v>
      </c>
    </row>
    <row r="170">
      <c r="A170">
        <v>1002</v>
      </c>
      <c r="B170" s="1" t="s">
        <v>325</v>
      </c>
      <c r="C170">
        <v>0</v>
      </c>
      <c r="D170">
        <v>0</v>
      </c>
      <c r="E170">
        <v>0</v>
      </c>
      <c r="F170" s="15">
        <v>0</v>
      </c>
      <c r="G170">
        <v>0</v>
      </c>
    </row>
    <row r="171">
      <c r="A171">
        <v>1004</v>
      </c>
      <c r="B171" s="1" t="s">
        <v>326</v>
      </c>
      <c r="C171">
        <v>0</v>
      </c>
      <c r="D171">
        <v>0</v>
      </c>
      <c r="E171">
        <v>0</v>
      </c>
      <c r="F171" s="15">
        <v>1</v>
      </c>
      <c r="G171">
        <v>1</v>
      </c>
    </row>
    <row r="172">
      <c r="A172">
        <v>1006</v>
      </c>
      <c r="B172" s="1" t="s">
        <v>329</v>
      </c>
      <c r="C172">
        <v>0</v>
      </c>
      <c r="D172">
        <v>0</v>
      </c>
      <c r="E172">
        <v>0</v>
      </c>
      <c r="F172" s="15">
        <v>1</v>
      </c>
      <c r="G172">
        <v>0</v>
      </c>
    </row>
    <row r="173">
      <c r="A173">
        <v>1025</v>
      </c>
      <c r="B173" s="1" t="s">
        <v>330</v>
      </c>
      <c r="C173">
        <v>0</v>
      </c>
      <c r="D173">
        <v>0</v>
      </c>
      <c r="E173">
        <v>0</v>
      </c>
      <c r="F173" s="15">
        <v>0</v>
      </c>
      <c r="G173">
        <v>0</v>
      </c>
    </row>
    <row r="174">
      <c r="A174">
        <v>1033</v>
      </c>
      <c r="B174" s="1" t="s">
        <v>332</v>
      </c>
      <c r="C174">
        <v>1</v>
      </c>
      <c r="D174">
        <v>0</v>
      </c>
      <c r="E174">
        <v>0</v>
      </c>
      <c r="F174" s="15">
        <v>0</v>
      </c>
      <c r="G174">
        <v>1</v>
      </c>
    </row>
    <row r="175">
      <c r="A175">
        <v>1042</v>
      </c>
      <c r="B175" s="1" t="s">
        <v>336</v>
      </c>
      <c r="C175">
        <v>0</v>
      </c>
      <c r="D175">
        <v>0</v>
      </c>
      <c r="E175">
        <v>0</v>
      </c>
      <c r="F175" s="15">
        <v>1</v>
      </c>
      <c r="G175">
        <v>0</v>
      </c>
    </row>
    <row r="176">
      <c r="A176">
        <v>1053</v>
      </c>
      <c r="B176" s="1" t="s">
        <v>337</v>
      </c>
      <c r="C176">
        <v>0</v>
      </c>
      <c r="D176">
        <v>0</v>
      </c>
      <c r="E176">
        <v>0</v>
      </c>
      <c r="F176" s="15">
        <v>0</v>
      </c>
      <c r="G176">
        <v>0</v>
      </c>
    </row>
    <row r="177">
      <c r="A177">
        <v>1063</v>
      </c>
      <c r="B177" s="1" t="s">
        <v>338</v>
      </c>
      <c r="C177">
        <v>0</v>
      </c>
      <c r="D177">
        <v>0</v>
      </c>
      <c r="E177">
        <v>0</v>
      </c>
      <c r="F177" s="15">
        <v>0</v>
      </c>
      <c r="G177">
        <v>0</v>
      </c>
    </row>
    <row r="178">
      <c r="A178">
        <v>1064</v>
      </c>
      <c r="B178" s="1" t="s">
        <v>339</v>
      </c>
      <c r="C178">
        <v>0</v>
      </c>
      <c r="D178">
        <v>0</v>
      </c>
      <c r="E178">
        <v>0</v>
      </c>
      <c r="F178" s="15">
        <v>0</v>
      </c>
      <c r="G178">
        <v>0</v>
      </c>
    </row>
    <row r="179">
      <c r="A179">
        <v>1073</v>
      </c>
      <c r="B179" s="1" t="s">
        <v>340</v>
      </c>
      <c r="C179">
        <v>0</v>
      </c>
      <c r="D179">
        <v>0</v>
      </c>
      <c r="E179">
        <v>1</v>
      </c>
      <c r="F179" s="15">
        <v>0</v>
      </c>
      <c r="G179">
        <v>0</v>
      </c>
    </row>
    <row r="180">
      <c r="A180">
        <v>1076</v>
      </c>
      <c r="B180" s="1" t="s">
        <v>341</v>
      </c>
      <c r="C180">
        <v>0</v>
      </c>
      <c r="D180">
        <v>0</v>
      </c>
      <c r="E180">
        <v>0</v>
      </c>
      <c r="F180" s="15">
        <v>0</v>
      </c>
      <c r="G180">
        <v>0</v>
      </c>
    </row>
    <row r="181">
      <c r="A181">
        <v>1182</v>
      </c>
      <c r="B181" s="1" t="s">
        <v>342</v>
      </c>
      <c r="C181">
        <v>0</v>
      </c>
      <c r="D181">
        <v>0</v>
      </c>
      <c r="E181">
        <v>0</v>
      </c>
      <c r="F181" s="15">
        <v>0</v>
      </c>
      <c r="G181">
        <v>0</v>
      </c>
    </row>
    <row r="182">
      <c r="A182">
        <v>1184</v>
      </c>
      <c r="B182" s="1" t="s">
        <v>343</v>
      </c>
      <c r="C182">
        <v>0</v>
      </c>
      <c r="D182">
        <v>0</v>
      </c>
      <c r="E182">
        <v>1</v>
      </c>
      <c r="F182" s="15">
        <v>0</v>
      </c>
      <c r="G182">
        <v>0</v>
      </c>
    </row>
    <row r="183">
      <c r="A183">
        <v>1186</v>
      </c>
      <c r="B183" s="1" t="s">
        <v>344</v>
      </c>
      <c r="C183">
        <v>0</v>
      </c>
      <c r="D183">
        <v>0</v>
      </c>
      <c r="E183">
        <v>0</v>
      </c>
      <c r="F183" s="15">
        <v>0</v>
      </c>
      <c r="G183">
        <v>0</v>
      </c>
    </row>
    <row r="184">
      <c r="A184">
        <v>1187</v>
      </c>
      <c r="B184" s="1" t="s">
        <v>345</v>
      </c>
      <c r="C184">
        <v>0</v>
      </c>
      <c r="D184">
        <v>0</v>
      </c>
      <c r="E184">
        <v>0</v>
      </c>
      <c r="F184" s="15">
        <v>0</v>
      </c>
      <c r="G184">
        <v>0</v>
      </c>
    </row>
    <row r="185">
      <c r="A185">
        <v>1190</v>
      </c>
      <c r="B185" s="1" t="s">
        <v>346</v>
      </c>
      <c r="C185">
        <v>0</v>
      </c>
      <c r="D185">
        <v>0</v>
      </c>
      <c r="E185">
        <v>0</v>
      </c>
      <c r="F185" s="15">
        <v>0</v>
      </c>
      <c r="G185">
        <v>0</v>
      </c>
    </row>
    <row r="186">
      <c r="A186">
        <v>1193</v>
      </c>
      <c r="B186" s="1" t="s">
        <v>347</v>
      </c>
      <c r="C186">
        <v>0</v>
      </c>
      <c r="D186">
        <v>0</v>
      </c>
      <c r="E186">
        <v>0</v>
      </c>
      <c r="F186" s="15">
        <v>0</v>
      </c>
      <c r="G186">
        <v>0</v>
      </c>
    </row>
    <row r="187">
      <c r="A187">
        <v>1200</v>
      </c>
      <c r="B187" s="1" t="s">
        <v>348</v>
      </c>
      <c r="C187">
        <v>0</v>
      </c>
      <c r="D187">
        <v>0</v>
      </c>
      <c r="E187">
        <v>0</v>
      </c>
      <c r="F187" s="15">
        <v>0</v>
      </c>
      <c r="G187">
        <v>0</v>
      </c>
    </row>
    <row r="188">
      <c r="A188">
        <v>1205</v>
      </c>
      <c r="B188" s="1" t="s">
        <v>349</v>
      </c>
      <c r="C188">
        <v>0</v>
      </c>
      <c r="D188">
        <v>0</v>
      </c>
      <c r="E188">
        <v>0</v>
      </c>
      <c r="F188" s="15">
        <v>0</v>
      </c>
      <c r="G188">
        <v>0</v>
      </c>
    </row>
    <row r="189">
      <c r="A189">
        <v>1206</v>
      </c>
      <c r="B189" s="1" t="s">
        <v>350</v>
      </c>
      <c r="C189">
        <v>0</v>
      </c>
      <c r="D189">
        <v>0</v>
      </c>
      <c r="E189">
        <v>0</v>
      </c>
      <c r="F189" s="15">
        <v>0</v>
      </c>
      <c r="G189">
        <v>0</v>
      </c>
    </row>
    <row r="190">
      <c r="A190">
        <v>1213</v>
      </c>
      <c r="B190" s="1" t="s">
        <v>352</v>
      </c>
      <c r="C190">
        <v>0</v>
      </c>
      <c r="D190">
        <v>0</v>
      </c>
      <c r="E190">
        <v>0</v>
      </c>
      <c r="F190" s="15">
        <v>1</v>
      </c>
      <c r="G190">
        <v>0</v>
      </c>
    </row>
    <row r="191">
      <c r="A191">
        <v>1226</v>
      </c>
      <c r="B191" s="1" t="s">
        <v>354</v>
      </c>
      <c r="C191">
        <v>0</v>
      </c>
      <c r="D191">
        <v>1</v>
      </c>
      <c r="E191">
        <v>0</v>
      </c>
      <c r="F191" s="15">
        <v>0</v>
      </c>
      <c r="G191">
        <v>0</v>
      </c>
    </row>
    <row r="192">
      <c r="A192">
        <v>1232</v>
      </c>
      <c r="B192" s="1" t="s">
        <v>355</v>
      </c>
      <c r="C192">
        <v>0</v>
      </c>
      <c r="D192">
        <v>0</v>
      </c>
      <c r="E192">
        <v>0</v>
      </c>
      <c r="F192" s="15">
        <v>1</v>
      </c>
      <c r="G192">
        <v>0</v>
      </c>
    </row>
    <row r="193" ht="29.100000000000001">
      <c r="A193">
        <v>1235</v>
      </c>
      <c r="B193" s="1" t="s">
        <v>357</v>
      </c>
      <c r="C193">
        <v>0</v>
      </c>
      <c r="D193">
        <v>0</v>
      </c>
      <c r="E193">
        <v>1</v>
      </c>
      <c r="F193" s="15">
        <v>0</v>
      </c>
      <c r="G193">
        <v>1</v>
      </c>
    </row>
    <row r="194" ht="29.100000000000001">
      <c r="A194">
        <v>1247</v>
      </c>
      <c r="B194" s="1" t="s">
        <v>359</v>
      </c>
      <c r="C194">
        <v>0</v>
      </c>
      <c r="D194">
        <v>0</v>
      </c>
      <c r="E194">
        <v>0</v>
      </c>
      <c r="F194" s="15">
        <v>0</v>
      </c>
      <c r="G194">
        <v>0</v>
      </c>
    </row>
    <row r="195">
      <c r="A195">
        <v>1248</v>
      </c>
      <c r="B195" s="1" t="s">
        <v>360</v>
      </c>
      <c r="C195">
        <v>0</v>
      </c>
      <c r="D195">
        <v>0</v>
      </c>
      <c r="E195">
        <v>0</v>
      </c>
      <c r="F195" s="15">
        <v>1</v>
      </c>
      <c r="G195">
        <v>0</v>
      </c>
    </row>
    <row r="196" ht="29.100000000000001">
      <c r="A196">
        <v>1256</v>
      </c>
      <c r="B196" s="1" t="s">
        <v>362</v>
      </c>
      <c r="C196">
        <v>0</v>
      </c>
      <c r="D196">
        <v>0</v>
      </c>
      <c r="E196">
        <v>0</v>
      </c>
      <c r="F196" s="15">
        <v>1</v>
      </c>
      <c r="G196">
        <v>1</v>
      </c>
    </row>
    <row r="197">
      <c r="A197">
        <v>1258</v>
      </c>
      <c r="B197" s="1" t="s">
        <v>365</v>
      </c>
      <c r="C197">
        <v>0</v>
      </c>
      <c r="D197">
        <v>0</v>
      </c>
      <c r="E197">
        <v>0</v>
      </c>
      <c r="F197" s="15">
        <v>0</v>
      </c>
      <c r="G197">
        <v>0</v>
      </c>
    </row>
    <row r="198" ht="29.100000000000001">
      <c r="A198">
        <v>1261</v>
      </c>
      <c r="B198" s="1" t="s">
        <v>366</v>
      </c>
      <c r="C198">
        <v>0</v>
      </c>
      <c r="D198">
        <v>0</v>
      </c>
      <c r="E198">
        <v>0</v>
      </c>
      <c r="F198" s="15">
        <v>0</v>
      </c>
      <c r="G198">
        <v>0</v>
      </c>
    </row>
    <row r="199">
      <c r="A199">
        <v>1270</v>
      </c>
      <c r="B199" s="1" t="s">
        <v>367</v>
      </c>
      <c r="C199">
        <v>0</v>
      </c>
      <c r="D199">
        <v>0</v>
      </c>
      <c r="E199">
        <v>0</v>
      </c>
      <c r="F199" s="15">
        <v>0</v>
      </c>
      <c r="G199">
        <v>1</v>
      </c>
    </row>
    <row r="200" ht="29.100000000000001">
      <c r="A200">
        <v>1282</v>
      </c>
      <c r="B200" s="1" t="s">
        <v>369</v>
      </c>
      <c r="C200">
        <v>0</v>
      </c>
      <c r="D200">
        <v>0</v>
      </c>
      <c r="E200">
        <v>1</v>
      </c>
      <c r="F200" s="15">
        <v>0</v>
      </c>
      <c r="G200">
        <v>0</v>
      </c>
    </row>
    <row r="201">
      <c r="A201">
        <v>1340</v>
      </c>
      <c r="B201" s="1" t="s">
        <v>371</v>
      </c>
      <c r="C201">
        <v>0</v>
      </c>
      <c r="D201">
        <v>0</v>
      </c>
      <c r="E201">
        <v>0</v>
      </c>
      <c r="F201" s="15">
        <v>0</v>
      </c>
      <c r="G201">
        <v>0</v>
      </c>
    </row>
    <row r="202">
      <c r="C202" s="16">
        <f>SUM(C152:C201)</f>
        <v>2</v>
      </c>
      <c r="D202" s="16">
        <f>SUM(D152:D201)</f>
        <v>2</v>
      </c>
      <c r="E202" s="16">
        <f>SUM(E152:E201)</f>
        <v>5</v>
      </c>
      <c r="F202" s="16">
        <f>SUM(F152:F201)</f>
        <v>12</v>
      </c>
      <c r="G202" s="16">
        <f>SUM(G152:G201)</f>
        <v>7</v>
      </c>
    </row>
    <row r="203">
      <c r="C203" s="10">
        <f>SUM(C152:C201)/50</f>
        <v>0.040000000000000001</v>
      </c>
      <c r="D203" s="10">
        <f>SUM(D152:D201)/50</f>
        <v>0.040000000000000001</v>
      </c>
      <c r="E203" s="10">
        <f>SUM(E152:E201)/50</f>
        <v>0.10000000000000001</v>
      </c>
      <c r="F203" s="10">
        <f>SUM(F152:F201)/50</f>
        <v>0.23999999999999999</v>
      </c>
      <c r="G203" s="10">
        <f>SUM(G152:G201)/50</f>
        <v>0.14000000000000001</v>
      </c>
    </row>
  </sheetData>
  <sortState ref="A2:G203">
    <sortCondition ref="A2:A203"/>
  </sortState>
  <printOptions headings="0" gridLines="1"/>
  <pageMargins left="0.70866141732283472" right="0.70866141732283472" top="0.74803149606299213" bottom="0.74803149606299213" header="0.31496062992125984" footer="0.31496062992125984"/>
  <pageSetup paperSize="9" scale="100" fitToWidth="1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0" workbookViewId="0">
      <selection activeCell="A2" activeCellId="0" sqref="A2"/>
    </sheetView>
  </sheetViews>
  <sheetFormatPr defaultColWidth="11.42578125" defaultRowHeight="14.449999999999999"/>
  <cols>
    <col customWidth="1" min="2" max="2" style="1" width="96.140625"/>
    <col min="3" max="3" width="13.7109375"/>
    <col customWidth="1" min="4" max="4" style="19" width="27.42578125"/>
    <col customWidth="1" min="5" max="5" style="2" width="27.42578125"/>
    <col customWidth="1" min="6" max="6" style="19" width="27.42578125"/>
    <col customWidth="1" min="7" max="7" style="1" width="20.7109375"/>
    <col min="8" max="8" width="13.7109375"/>
    <col customWidth="1" min="9" max="9" style="19" width="23.140625"/>
    <col customWidth="1" min="10" max="11" style="19" width="27.42578125"/>
    <col customWidth="1" min="12" max="12" style="1" width="21.85546875"/>
    <col customWidth="1" min="13" max="13" style="1" width="11"/>
    <col customWidth="1" min="14" max="16" style="19" width="27.42578125"/>
    <col customWidth="1" min="17" max="17" style="1" width="23"/>
    <col customWidth="1" min="18" max="18" style="1" width="11.140625"/>
    <col customWidth="1" min="19" max="21" style="19" width="27.42578125"/>
    <col customWidth="1" min="22" max="22" style="1" width="28"/>
  </cols>
  <sheetData>
    <row r="1" s="1" customFormat="1">
      <c r="A1" s="3" t="s">
        <v>0</v>
      </c>
      <c r="B1" s="4" t="s">
        <v>1</v>
      </c>
      <c r="C1" s="3" t="s">
        <v>375</v>
      </c>
      <c r="D1" s="20" t="s">
        <v>411</v>
      </c>
      <c r="E1" s="13" t="s">
        <v>412</v>
      </c>
      <c r="F1" s="20" t="s">
        <v>413</v>
      </c>
      <c r="G1" s="21" t="s">
        <v>414</v>
      </c>
      <c r="H1" s="3" t="s">
        <v>383</v>
      </c>
      <c r="I1" s="20" t="s">
        <v>415</v>
      </c>
      <c r="J1" s="20" t="s">
        <v>416</v>
      </c>
      <c r="K1" s="20" t="s">
        <v>417</v>
      </c>
      <c r="L1" s="21" t="s">
        <v>418</v>
      </c>
      <c r="M1" s="21" t="s">
        <v>391</v>
      </c>
      <c r="N1" s="20" t="s">
        <v>419</v>
      </c>
      <c r="O1" s="20" t="s">
        <v>420</v>
      </c>
      <c r="P1" s="20" t="s">
        <v>421</v>
      </c>
      <c r="Q1" s="21" t="s">
        <v>422</v>
      </c>
      <c r="R1" s="21" t="s">
        <v>399</v>
      </c>
      <c r="S1" s="20" t="s">
        <v>423</v>
      </c>
      <c r="T1" s="20" t="s">
        <v>424</v>
      </c>
      <c r="U1" s="20" t="s">
        <v>425</v>
      </c>
      <c r="V1" s="21" t="s">
        <v>426</v>
      </c>
    </row>
    <row r="2" ht="57.950000000000003">
      <c r="A2">
        <v>60</v>
      </c>
      <c r="B2" s="8" t="s">
        <v>15</v>
      </c>
      <c r="C2">
        <v>1</v>
      </c>
      <c r="D2" s="19" t="s">
        <v>315</v>
      </c>
      <c r="E2" s="2" t="s">
        <v>17</v>
      </c>
      <c r="F2" s="19" t="s">
        <v>18</v>
      </c>
      <c r="G2" s="21" t="str">
        <f t="shared" ref="G2:G9" si="170">TRIM(_xlfn.CONCAT(IF(D2="N/A","",D2&amp;" "),IF(E2="N/A","",E2&amp;" "),IF(OR(F2="N/A",F2=D2),"",F2&amp;" ")))</f>
        <v xml:space="preserve">más devastadoras "más devastadoras" imágenes más devastadoras</v>
      </c>
      <c r="H2" s="12">
        <f t="shared" ref="H2:H9" si="171">IF(SUM(E2,F2,G2)&gt;=2,1,0)</f>
        <v>0</v>
      </c>
      <c r="I2" s="19" t="s">
        <v>16</v>
      </c>
      <c r="J2" s="19" t="s">
        <v>32</v>
      </c>
      <c r="K2" s="19" t="s">
        <v>16</v>
      </c>
      <c r="L2" s="21" t="str">
        <f t="shared" ref="L2:L9" si="172">TRIM(_xlfn.CONCAT(IF(I2="N/A","",I2&amp;" "),IF(J2="N/A","",J2&amp;" "),IF(OR(K2="N/A",K2=I2),"",K2&amp;" ")))</f>
        <v>N/A</v>
      </c>
      <c r="M2" s="1">
        <v>0</v>
      </c>
      <c r="N2" s="19" t="s">
        <v>16</v>
      </c>
      <c r="O2" s="19" t="s">
        <v>32</v>
      </c>
      <c r="P2" s="19" t="s">
        <v>16</v>
      </c>
      <c r="Q2" s="21" t="str">
        <f t="shared" ref="Q2:Q9" si="173">TRIM(_xlfn.CONCAT(IF(N2="N/A","",N2&amp;" "),IF(O2="N/A","",O2&amp;" "),IF(OR(P2="N/A",P2=N2),"",P2&amp;" ")))</f>
        <v>N/A</v>
      </c>
      <c r="R2" s="1">
        <v>0</v>
      </c>
      <c r="S2" s="19" t="s">
        <v>16</v>
      </c>
      <c r="T2" s="19" t="s">
        <v>32</v>
      </c>
      <c r="U2" s="19" t="s">
        <v>16</v>
      </c>
      <c r="V2" s="21" t="str">
        <f t="shared" ref="V2:V9" si="174">TRIM(_xlfn.CONCAT(IF(S2="N/A","",S2&amp;" "),IF(T2="N/A","",T2&amp;" "),IF(OR(U2="N/A",U2=S2),"",U2&amp;" ")))</f>
        <v>N/A</v>
      </c>
    </row>
    <row r="3">
      <c r="A3">
        <v>67</v>
      </c>
      <c r="B3" s="8" t="s">
        <v>19</v>
      </c>
      <c r="C3">
        <v>0</v>
      </c>
      <c r="D3" s="19" t="s">
        <v>16</v>
      </c>
      <c r="E3" s="2" t="s">
        <v>20</v>
      </c>
      <c r="F3" s="19" t="s">
        <v>16</v>
      </c>
      <c r="G3" s="21" t="str">
        <f t="shared" si="170"/>
        <v>"catástrofe"</v>
      </c>
      <c r="H3" s="12">
        <f t="shared" si="171"/>
        <v>0</v>
      </c>
      <c r="I3" s="19" t="s">
        <v>16</v>
      </c>
      <c r="J3" s="19" t="s">
        <v>32</v>
      </c>
      <c r="K3" s="19" t="s">
        <v>16</v>
      </c>
      <c r="L3" s="21" t="str">
        <f t="shared" si="172"/>
        <v>N/A</v>
      </c>
      <c r="M3" s="1">
        <v>0</v>
      </c>
      <c r="N3" s="19" t="s">
        <v>16</v>
      </c>
      <c r="O3" s="19" t="s">
        <v>32</v>
      </c>
      <c r="P3" s="19" t="s">
        <v>16</v>
      </c>
      <c r="Q3" s="21" t="str">
        <f t="shared" si="173"/>
        <v>N/A</v>
      </c>
      <c r="R3" s="1">
        <v>0</v>
      </c>
      <c r="S3" s="19" t="s">
        <v>16</v>
      </c>
      <c r="T3" s="19" t="s">
        <v>32</v>
      </c>
      <c r="U3" s="19" t="s">
        <v>16</v>
      </c>
      <c r="V3" s="21" t="str">
        <f t="shared" si="174"/>
        <v>N/A</v>
      </c>
    </row>
    <row r="4" ht="43.5">
      <c r="A4">
        <v>69</v>
      </c>
      <c r="B4" s="8" t="s">
        <v>21</v>
      </c>
      <c r="C4">
        <v>1</v>
      </c>
      <c r="D4" s="19" t="s">
        <v>427</v>
      </c>
      <c r="E4" s="2" t="s">
        <v>22</v>
      </c>
      <c r="F4" s="19" t="s">
        <v>427</v>
      </c>
      <c r="G4" s="21" t="str">
        <f t="shared" si="170"/>
        <v xml:space="preserve">sumergió pueblos enteros "Revive el pánico"</v>
      </c>
      <c r="H4" s="12">
        <f t="shared" si="171"/>
        <v>0</v>
      </c>
      <c r="I4" s="19" t="s">
        <v>16</v>
      </c>
      <c r="J4" s="19" t="s">
        <v>32</v>
      </c>
      <c r="K4" s="19" t="s">
        <v>16</v>
      </c>
      <c r="L4" s="21" t="str">
        <f t="shared" si="172"/>
        <v>N/A</v>
      </c>
      <c r="M4" s="1">
        <v>0</v>
      </c>
      <c r="N4" s="19" t="s">
        <v>16</v>
      </c>
      <c r="O4" s="19" t="s">
        <v>32</v>
      </c>
      <c r="P4" s="19" t="s">
        <v>16</v>
      </c>
      <c r="Q4" s="21" t="str">
        <f t="shared" si="173"/>
        <v>N/A</v>
      </c>
      <c r="R4" s="1">
        <v>0</v>
      </c>
      <c r="S4" s="19" t="s">
        <v>16</v>
      </c>
      <c r="T4" s="19" t="s">
        <v>32</v>
      </c>
      <c r="U4" s="19" t="s">
        <v>16</v>
      </c>
      <c r="V4" s="21" t="str">
        <f t="shared" si="174"/>
        <v>N/A</v>
      </c>
    </row>
    <row r="5" ht="29.100000000000001">
      <c r="A5">
        <v>72</v>
      </c>
      <c r="B5" s="8" t="s">
        <v>24</v>
      </c>
      <c r="C5">
        <v>1</v>
      </c>
      <c r="D5" s="19" t="s">
        <v>26</v>
      </c>
      <c r="E5" s="2" t="s">
        <v>25</v>
      </c>
      <c r="F5" s="19" t="s">
        <v>26</v>
      </c>
      <c r="G5" s="21" t="str">
        <f t="shared" si="170"/>
        <v xml:space="preserve">apocalipsis de lluvia "apocalipsis de lluvia"</v>
      </c>
      <c r="H5" s="12">
        <f t="shared" si="171"/>
        <v>0</v>
      </c>
      <c r="I5" s="19" t="s">
        <v>16</v>
      </c>
      <c r="J5" s="19" t="s">
        <v>32</v>
      </c>
      <c r="K5" s="19" t="s">
        <v>16</v>
      </c>
      <c r="L5" s="21" t="str">
        <f t="shared" si="172"/>
        <v>N/A</v>
      </c>
      <c r="M5" s="1">
        <v>0</v>
      </c>
      <c r="N5" s="19" t="s">
        <v>16</v>
      </c>
      <c r="O5" s="19" t="s">
        <v>32</v>
      </c>
      <c r="P5" s="19" t="s">
        <v>16</v>
      </c>
      <c r="Q5" s="21" t="str">
        <f t="shared" si="173"/>
        <v>N/A</v>
      </c>
      <c r="R5" s="1">
        <v>0</v>
      </c>
      <c r="S5" s="19" t="s">
        <v>16</v>
      </c>
      <c r="T5" s="19" t="s">
        <v>32</v>
      </c>
      <c r="U5" s="19" t="s">
        <v>16</v>
      </c>
      <c r="V5" s="21" t="str">
        <f t="shared" si="174"/>
        <v>N/A</v>
      </c>
    </row>
    <row r="6" ht="57.950000000000003">
      <c r="A6">
        <v>86</v>
      </c>
      <c r="B6" s="8" t="s">
        <v>27</v>
      </c>
      <c r="C6">
        <v>1</v>
      </c>
      <c r="D6" s="19" t="s">
        <v>302</v>
      </c>
      <c r="E6" s="2" t="s">
        <v>29</v>
      </c>
      <c r="F6" s="19" t="s">
        <v>30</v>
      </c>
      <c r="G6" s="21" t="str">
        <f t="shared" si="170"/>
        <v xml:space="preserve">el fin del mundo "Parecía el fin del mundo" Parecía el fin del mundo</v>
      </c>
      <c r="H6" s="12">
        <f t="shared" si="171"/>
        <v>0</v>
      </c>
      <c r="I6" s="19" t="s">
        <v>16</v>
      </c>
      <c r="J6" s="19" t="s">
        <v>32</v>
      </c>
      <c r="K6" s="19" t="s">
        <v>16</v>
      </c>
      <c r="L6" s="21" t="str">
        <f t="shared" si="172"/>
        <v>N/A</v>
      </c>
      <c r="M6" s="1">
        <v>0</v>
      </c>
      <c r="N6" s="19" t="s">
        <v>16</v>
      </c>
      <c r="O6" s="19" t="s">
        <v>32</v>
      </c>
      <c r="P6" s="19" t="s">
        <v>16</v>
      </c>
      <c r="Q6" s="21" t="str">
        <f t="shared" si="173"/>
        <v>N/A</v>
      </c>
      <c r="R6" s="1">
        <v>0</v>
      </c>
      <c r="S6" s="19" t="s">
        <v>16</v>
      </c>
      <c r="T6" s="19" t="s">
        <v>32</v>
      </c>
      <c r="U6" s="19" t="s">
        <v>16</v>
      </c>
      <c r="V6" s="21" t="str">
        <f t="shared" si="174"/>
        <v>N/A</v>
      </c>
    </row>
    <row r="7" ht="72.599999999999994">
      <c r="A7">
        <v>99</v>
      </c>
      <c r="B7" s="8" t="s">
        <v>31</v>
      </c>
      <c r="C7">
        <v>0</v>
      </c>
      <c r="D7" s="19" t="s">
        <v>16</v>
      </c>
      <c r="E7" s="2" t="s">
        <v>32</v>
      </c>
      <c r="F7" s="19" t="s">
        <v>16</v>
      </c>
      <c r="G7" s="21" t="str">
        <f t="shared" si="170"/>
        <v>N/A</v>
      </c>
      <c r="H7" s="12">
        <f t="shared" si="171"/>
        <v>0</v>
      </c>
      <c r="I7" s="19" t="s">
        <v>16</v>
      </c>
      <c r="J7" s="19" t="s">
        <v>32</v>
      </c>
      <c r="K7" s="19" t="s">
        <v>16</v>
      </c>
      <c r="L7" s="21" t="str">
        <f t="shared" si="172"/>
        <v>N/A</v>
      </c>
      <c r="M7" s="1">
        <v>0</v>
      </c>
      <c r="N7" s="19" t="s">
        <v>16</v>
      </c>
      <c r="O7" s="19" t="s">
        <v>32</v>
      </c>
      <c r="P7" s="19" t="s">
        <v>16</v>
      </c>
      <c r="Q7" s="21" t="str">
        <f t="shared" si="173"/>
        <v>N/A</v>
      </c>
      <c r="R7" s="1">
        <v>1</v>
      </c>
      <c r="S7" s="19" t="s">
        <v>428</v>
      </c>
      <c r="T7" s="19" t="s">
        <v>429</v>
      </c>
      <c r="U7" s="19" t="s">
        <v>428</v>
      </c>
      <c r="V7" s="21" t="str">
        <f t="shared" si="174"/>
        <v xml:space="preserve">se espera una nueva a mediados de la próxima semana "se espera una nueva a mediados de la próxima semana"</v>
      </c>
    </row>
    <row r="8">
      <c r="A8">
        <v>107</v>
      </c>
      <c r="B8" s="8" t="s">
        <v>33</v>
      </c>
      <c r="C8">
        <v>0</v>
      </c>
      <c r="D8" s="19" t="s">
        <v>16</v>
      </c>
      <c r="E8" s="2" t="s">
        <v>32</v>
      </c>
      <c r="F8" s="19" t="s">
        <v>16</v>
      </c>
      <c r="G8" s="21" t="str">
        <f t="shared" si="170"/>
        <v>N/A</v>
      </c>
      <c r="H8" s="12">
        <f t="shared" si="171"/>
        <v>0</v>
      </c>
      <c r="I8" s="19" t="s">
        <v>16</v>
      </c>
      <c r="J8" s="19" t="s">
        <v>32</v>
      </c>
      <c r="K8" s="19" t="s">
        <v>16</v>
      </c>
      <c r="L8" s="21" t="str">
        <f t="shared" si="172"/>
        <v>N/A</v>
      </c>
      <c r="M8" s="1">
        <v>0</v>
      </c>
      <c r="N8" s="19" t="s">
        <v>16</v>
      </c>
      <c r="O8" s="19" t="s">
        <v>32</v>
      </c>
      <c r="P8" s="19" t="s">
        <v>16</v>
      </c>
      <c r="Q8" s="21" t="str">
        <f t="shared" si="173"/>
        <v>N/A</v>
      </c>
      <c r="R8" s="1">
        <v>0</v>
      </c>
      <c r="S8" s="19" t="s">
        <v>16</v>
      </c>
      <c r="T8" s="19" t="s">
        <v>32</v>
      </c>
      <c r="U8" s="19" t="s">
        <v>16</v>
      </c>
      <c r="V8" s="21" t="str">
        <f t="shared" si="174"/>
        <v>N/A</v>
      </c>
    </row>
    <row r="9" ht="29.100000000000001">
      <c r="A9">
        <v>110</v>
      </c>
      <c r="B9" s="8" t="s">
        <v>35</v>
      </c>
      <c r="C9">
        <v>0</v>
      </c>
      <c r="D9" s="19" t="s">
        <v>16</v>
      </c>
      <c r="E9" s="2" t="s">
        <v>32</v>
      </c>
      <c r="F9" s="19" t="s">
        <v>16</v>
      </c>
      <c r="G9" s="21" t="str">
        <f t="shared" si="170"/>
        <v>N/A</v>
      </c>
      <c r="H9" s="12">
        <f t="shared" si="171"/>
        <v>0</v>
      </c>
      <c r="I9" s="19" t="s">
        <v>430</v>
      </c>
      <c r="J9" s="19" t="s">
        <v>431</v>
      </c>
      <c r="K9" s="19" t="s">
        <v>16</v>
      </c>
      <c r="L9" s="21" t="str">
        <f t="shared" si="172"/>
        <v xml:space="preserve">Carreteras cortadas "Carreteras cortadas"</v>
      </c>
      <c r="M9" s="1">
        <v>0</v>
      </c>
      <c r="N9" s="19" t="s">
        <v>16</v>
      </c>
      <c r="O9" s="19" t="s">
        <v>32</v>
      </c>
      <c r="P9" s="19" t="s">
        <v>16</v>
      </c>
      <c r="Q9" s="21" t="str">
        <f t="shared" si="173"/>
        <v>N/A</v>
      </c>
      <c r="R9" s="1">
        <v>0</v>
      </c>
      <c r="S9" s="19" t="s">
        <v>16</v>
      </c>
      <c r="T9" s="19" t="s">
        <v>32</v>
      </c>
      <c r="U9" s="19" t="s">
        <v>16</v>
      </c>
      <c r="V9" s="21" t="str">
        <f t="shared" si="174"/>
        <v>N/A</v>
      </c>
    </row>
    <row r="10">
      <c r="A10">
        <v>111</v>
      </c>
      <c r="B10" s="8" t="s">
        <v>36</v>
      </c>
      <c r="C10">
        <v>0</v>
      </c>
      <c r="D10" s="19" t="s">
        <v>16</v>
      </c>
      <c r="E10" s="2" t="s">
        <v>32</v>
      </c>
      <c r="F10" s="19" t="s">
        <v>16</v>
      </c>
      <c r="G10" s="21" t="str">
        <f t="shared" ref="G10:G73" si="175">TRIM(_xlfn.CONCAT(IF(D10="N/A","",D10&amp;" "),IF(E10="N/A","",E10&amp;" "),IF(OR(F10="N/A",F10=D10),"",F10&amp;" ")))</f>
        <v>N/A</v>
      </c>
      <c r="H10" s="12">
        <f t="shared" ref="H10:H73" si="176">IF(SUM(E10,F10,G10)&gt;=2,1,0)</f>
        <v>0</v>
      </c>
      <c r="I10" s="19" t="s">
        <v>16</v>
      </c>
      <c r="J10" s="19" t="s">
        <v>32</v>
      </c>
      <c r="K10" s="19" t="s">
        <v>16</v>
      </c>
      <c r="L10" s="21" t="str">
        <f t="shared" ref="L10:L73" si="177">TRIM(_xlfn.CONCAT(IF(I10="N/A","",I10&amp;" "),IF(J10="N/A","",J10&amp;" "),IF(OR(K10="N/A",K10=I10),"",K10&amp;" ")))</f>
        <v>N/A</v>
      </c>
      <c r="M10" s="1">
        <v>0</v>
      </c>
      <c r="N10" s="19" t="s">
        <v>16</v>
      </c>
      <c r="O10" s="19" t="s">
        <v>32</v>
      </c>
      <c r="P10" s="19" t="s">
        <v>16</v>
      </c>
      <c r="Q10" s="21" t="str">
        <f t="shared" ref="Q10:Q73" si="178">TRIM(_xlfn.CONCAT(IF(N10="N/A","",N10&amp;" "),IF(O10="N/A","",O10&amp;" "),IF(OR(P10="N/A",P10=N10),"",P10&amp;" ")))</f>
        <v>N/A</v>
      </c>
      <c r="R10" s="1">
        <v>0</v>
      </c>
      <c r="S10" s="19" t="s">
        <v>16</v>
      </c>
      <c r="T10" s="19" t="s">
        <v>32</v>
      </c>
      <c r="U10" s="19" t="s">
        <v>16</v>
      </c>
      <c r="V10" s="21" t="str">
        <f t="shared" ref="V10:V73" si="179">TRIM(_xlfn.CONCAT(IF(S10="N/A","",S10&amp;" "),IF(T10="N/A","",T10&amp;" "),IF(OR(U10="N/A",U10=S10),"",U10&amp;" ")))</f>
        <v>N/A</v>
      </c>
    </row>
    <row r="11" ht="29.100000000000001">
      <c r="A11">
        <v>121</v>
      </c>
      <c r="B11" s="8" t="s">
        <v>38</v>
      </c>
      <c r="C11">
        <v>0</v>
      </c>
      <c r="D11" s="19" t="s">
        <v>16</v>
      </c>
      <c r="E11" s="2" t="s">
        <v>32</v>
      </c>
      <c r="F11" s="19" t="s">
        <v>16</v>
      </c>
      <c r="G11" s="21" t="str">
        <f t="shared" si="175"/>
        <v>N/A</v>
      </c>
      <c r="H11" s="12">
        <f t="shared" si="176"/>
        <v>0</v>
      </c>
      <c r="I11" s="19" t="s">
        <v>16</v>
      </c>
      <c r="J11" s="19" t="s">
        <v>32</v>
      </c>
      <c r="K11" s="19" t="s">
        <v>16</v>
      </c>
      <c r="L11" s="21" t="str">
        <f t="shared" si="177"/>
        <v>N/A</v>
      </c>
      <c r="M11" s="1">
        <v>0</v>
      </c>
      <c r="N11" s="19" t="s">
        <v>16</v>
      </c>
      <c r="O11" s="19" t="s">
        <v>432</v>
      </c>
      <c r="P11" s="19" t="s">
        <v>16</v>
      </c>
      <c r="Q11" s="21" t="str">
        <f t="shared" si="178"/>
        <v xml:space="preserve">"centro de operaciones del Banco de Alimentos"</v>
      </c>
      <c r="R11" s="1">
        <v>0</v>
      </c>
      <c r="S11" s="19" t="s">
        <v>16</v>
      </c>
      <c r="T11" s="19" t="s">
        <v>32</v>
      </c>
      <c r="U11" s="19" t="s">
        <v>16</v>
      </c>
      <c r="V11" s="21" t="str">
        <f t="shared" si="179"/>
        <v>N/A</v>
      </c>
    </row>
    <row r="12">
      <c r="A12">
        <v>127</v>
      </c>
      <c r="B12" s="8" t="s">
        <v>39</v>
      </c>
      <c r="C12">
        <v>0</v>
      </c>
      <c r="D12" s="19" t="s">
        <v>16</v>
      </c>
      <c r="E12" s="2" t="s">
        <v>32</v>
      </c>
      <c r="F12" s="19" t="s">
        <v>16</v>
      </c>
      <c r="G12" s="21" t="str">
        <f t="shared" si="175"/>
        <v>N/A</v>
      </c>
      <c r="H12" s="12">
        <f t="shared" si="176"/>
        <v>0</v>
      </c>
      <c r="I12" s="19" t="s">
        <v>16</v>
      </c>
      <c r="J12" s="19" t="s">
        <v>32</v>
      </c>
      <c r="K12" s="19" t="s">
        <v>16</v>
      </c>
      <c r="L12" s="21" t="str">
        <f t="shared" si="177"/>
        <v>N/A</v>
      </c>
      <c r="M12" s="1">
        <v>0</v>
      </c>
      <c r="N12" s="19" t="s">
        <v>16</v>
      </c>
      <c r="O12" s="19" t="s">
        <v>32</v>
      </c>
      <c r="P12" s="19" t="s">
        <v>16</v>
      </c>
      <c r="Q12" s="21" t="str">
        <f t="shared" si="178"/>
        <v>N/A</v>
      </c>
      <c r="R12" s="1">
        <v>0</v>
      </c>
      <c r="S12" s="19" t="s">
        <v>16</v>
      </c>
      <c r="T12" s="19" t="s">
        <v>32</v>
      </c>
      <c r="U12" s="19" t="s">
        <v>16</v>
      </c>
      <c r="V12" s="21" t="str">
        <f t="shared" si="179"/>
        <v>N/A</v>
      </c>
    </row>
    <row r="13">
      <c r="A13">
        <v>129</v>
      </c>
      <c r="B13" s="8" t="s">
        <v>40</v>
      </c>
      <c r="C13" s="12">
        <v>0</v>
      </c>
      <c r="D13" s="19" t="s">
        <v>16</v>
      </c>
      <c r="E13" s="2" t="s">
        <v>32</v>
      </c>
      <c r="F13" s="19" t="s">
        <v>16</v>
      </c>
      <c r="G13" s="21" t="str">
        <f t="shared" si="175"/>
        <v>N/A</v>
      </c>
      <c r="H13" s="12">
        <f t="shared" si="176"/>
        <v>0</v>
      </c>
      <c r="I13" s="19" t="s">
        <v>16</v>
      </c>
      <c r="J13" s="19" t="s">
        <v>32</v>
      </c>
      <c r="K13" s="19" t="s">
        <v>16</v>
      </c>
      <c r="L13" s="21" t="str">
        <f t="shared" si="177"/>
        <v>N/A</v>
      </c>
      <c r="M13" s="21">
        <v>0</v>
      </c>
      <c r="N13" s="19" t="s">
        <v>16</v>
      </c>
      <c r="O13" s="19" t="s">
        <v>32</v>
      </c>
      <c r="P13" s="19" t="s">
        <v>16</v>
      </c>
      <c r="Q13" s="21" t="str">
        <f t="shared" si="178"/>
        <v>N/A</v>
      </c>
      <c r="R13" s="21">
        <v>0</v>
      </c>
      <c r="S13" s="19" t="s">
        <v>16</v>
      </c>
      <c r="T13" s="19" t="s">
        <v>32</v>
      </c>
      <c r="U13" s="19" t="s">
        <v>16</v>
      </c>
      <c r="V13" s="21" t="str">
        <f t="shared" si="179"/>
        <v>N/A</v>
      </c>
    </row>
    <row r="14" ht="72.599999999999994">
      <c r="A14">
        <v>133</v>
      </c>
      <c r="B14" s="8" t="s">
        <v>41</v>
      </c>
      <c r="C14">
        <v>0</v>
      </c>
      <c r="D14" s="19" t="s">
        <v>16</v>
      </c>
      <c r="E14" s="2" t="s">
        <v>433</v>
      </c>
      <c r="F14" s="19" t="s">
        <v>16</v>
      </c>
      <c r="G14" s="21" t="str">
        <f t="shared" si="175"/>
        <v xml:space="preserve">"llamó a su mujer para despedirse"</v>
      </c>
      <c r="H14" s="12">
        <f t="shared" si="176"/>
        <v>0</v>
      </c>
      <c r="I14" s="19" t="s">
        <v>16</v>
      </c>
      <c r="J14" s="19" t="s">
        <v>32</v>
      </c>
      <c r="K14" s="19" t="s">
        <v>16</v>
      </c>
      <c r="L14" s="21" t="str">
        <f t="shared" si="177"/>
        <v>N/A</v>
      </c>
      <c r="M14" s="1">
        <v>1</v>
      </c>
      <c r="N14" s="19" t="s">
        <v>44</v>
      </c>
      <c r="O14" s="19" t="s">
        <v>32</v>
      </c>
      <c r="P14" s="19" t="s">
        <v>434</v>
      </c>
      <c r="Q14" s="21" t="str">
        <f t="shared" si="178"/>
        <v xml:space="preserve">llamó a su mujer para despedirse N/A Un familiar de mi mejor amigo llamó a su mujer para despedirse</v>
      </c>
      <c r="R14" s="1">
        <v>0</v>
      </c>
      <c r="S14" s="19" t="s">
        <v>16</v>
      </c>
      <c r="T14" s="19" t="s">
        <v>32</v>
      </c>
      <c r="U14" s="19" t="s">
        <v>16</v>
      </c>
      <c r="V14" s="21" t="str">
        <f t="shared" si="179"/>
        <v>N/A</v>
      </c>
    </row>
    <row r="15" ht="29.100000000000001">
      <c r="A15">
        <v>135</v>
      </c>
      <c r="B15" s="8" t="s">
        <v>45</v>
      </c>
      <c r="C15">
        <v>0</v>
      </c>
      <c r="D15" s="19" t="s">
        <v>16</v>
      </c>
      <c r="E15" s="2" t="s">
        <v>32</v>
      </c>
      <c r="F15" s="19" t="s">
        <v>16</v>
      </c>
      <c r="G15" s="21" t="str">
        <f t="shared" si="175"/>
        <v>N/A</v>
      </c>
      <c r="H15" s="12">
        <f t="shared" si="176"/>
        <v>0</v>
      </c>
      <c r="I15" s="19" t="s">
        <v>16</v>
      </c>
      <c r="J15" s="19" t="s">
        <v>32</v>
      </c>
      <c r="K15" s="19" t="s">
        <v>16</v>
      </c>
      <c r="L15" s="21" t="str">
        <f t="shared" si="177"/>
        <v>N/A</v>
      </c>
      <c r="M15" s="1">
        <v>0</v>
      </c>
      <c r="N15" s="19" t="s">
        <v>16</v>
      </c>
      <c r="O15" s="19" t="s">
        <v>32</v>
      </c>
      <c r="P15" s="19" t="s">
        <v>16</v>
      </c>
      <c r="Q15" s="21" t="str">
        <f t="shared" si="178"/>
        <v>N/A</v>
      </c>
      <c r="R15" s="1">
        <v>0</v>
      </c>
      <c r="S15" s="19" t="s">
        <v>16</v>
      </c>
      <c r="T15" s="19" t="s">
        <v>32</v>
      </c>
      <c r="U15" s="19" t="s">
        <v>16</v>
      </c>
      <c r="V15" s="21" t="str">
        <f t="shared" si="179"/>
        <v>N/A</v>
      </c>
    </row>
    <row r="16" ht="29.100000000000001">
      <c r="A16">
        <v>146</v>
      </c>
      <c r="B16" s="8" t="s">
        <v>47</v>
      </c>
      <c r="C16">
        <v>0</v>
      </c>
      <c r="D16" s="19" t="s">
        <v>16</v>
      </c>
      <c r="E16" s="2" t="s">
        <v>32</v>
      </c>
      <c r="F16" s="19" t="s">
        <v>16</v>
      </c>
      <c r="G16" s="21" t="str">
        <f t="shared" si="175"/>
        <v>N/A</v>
      </c>
      <c r="H16" s="12">
        <f t="shared" si="176"/>
        <v>0</v>
      </c>
      <c r="I16" s="19" t="s">
        <v>16</v>
      </c>
      <c r="J16" s="19" t="s">
        <v>32</v>
      </c>
      <c r="K16" s="19" t="s">
        <v>16</v>
      </c>
      <c r="L16" s="21" t="str">
        <f t="shared" si="177"/>
        <v>N/A</v>
      </c>
      <c r="M16" s="1">
        <v>0</v>
      </c>
      <c r="N16" s="19" t="s">
        <v>16</v>
      </c>
      <c r="O16" s="19" t="s">
        <v>32</v>
      </c>
      <c r="P16" s="19" t="s">
        <v>16</v>
      </c>
      <c r="Q16" s="21" t="str">
        <f t="shared" si="178"/>
        <v>N/A</v>
      </c>
      <c r="R16" s="1">
        <v>0</v>
      </c>
      <c r="S16" s="19" t="s">
        <v>16</v>
      </c>
      <c r="T16" s="19" t="s">
        <v>32</v>
      </c>
      <c r="U16" s="19" t="s">
        <v>16</v>
      </c>
      <c r="V16" s="21" t="str">
        <f t="shared" si="179"/>
        <v>N/A</v>
      </c>
    </row>
    <row r="17" ht="43.5">
      <c r="A17">
        <v>152</v>
      </c>
      <c r="B17" s="8" t="s">
        <v>49</v>
      </c>
      <c r="C17">
        <v>1</v>
      </c>
      <c r="D17" s="19" t="s">
        <v>435</v>
      </c>
      <c r="E17" s="2" t="s">
        <v>436</v>
      </c>
      <c r="F17" s="19" t="s">
        <v>16</v>
      </c>
      <c r="G17" s="21" t="str">
        <f t="shared" si="175"/>
        <v xml:space="preserve">700 l/m2 en sólo 12 horas "máximas de 700 l/m2"</v>
      </c>
      <c r="H17" s="12">
        <f t="shared" si="176"/>
        <v>0</v>
      </c>
      <c r="I17" s="19" t="s">
        <v>16</v>
      </c>
      <c r="J17" s="19" t="s">
        <v>32</v>
      </c>
      <c r="K17" s="19" t="s">
        <v>16</v>
      </c>
      <c r="L17" s="21" t="str">
        <f t="shared" si="177"/>
        <v>N/A</v>
      </c>
      <c r="M17" s="1">
        <v>0</v>
      </c>
      <c r="N17" s="19" t="s">
        <v>16</v>
      </c>
      <c r="O17" s="19" t="s">
        <v>32</v>
      </c>
      <c r="P17" s="19" t="s">
        <v>16</v>
      </c>
      <c r="Q17" s="21" t="str">
        <f t="shared" si="178"/>
        <v>N/A</v>
      </c>
      <c r="R17" s="1">
        <v>0</v>
      </c>
      <c r="S17" s="19" t="s">
        <v>16</v>
      </c>
      <c r="T17" s="19" t="s">
        <v>32</v>
      </c>
      <c r="U17" s="19" t="s">
        <v>16</v>
      </c>
      <c r="V17" s="21" t="str">
        <f t="shared" si="179"/>
        <v>N/A</v>
      </c>
    </row>
    <row r="18">
      <c r="A18">
        <v>165</v>
      </c>
      <c r="B18" s="8" t="s">
        <v>51</v>
      </c>
      <c r="C18" s="12">
        <v>0</v>
      </c>
      <c r="D18" s="19" t="s">
        <v>16</v>
      </c>
      <c r="E18" s="2" t="s">
        <v>437</v>
      </c>
      <c r="F18" s="19" t="s">
        <v>16</v>
      </c>
      <c r="G18" s="21" t="str">
        <f t="shared" si="175"/>
        <v>"Devastación"</v>
      </c>
      <c r="H18" s="12">
        <f t="shared" si="176"/>
        <v>0</v>
      </c>
      <c r="I18" s="19" t="s">
        <v>16</v>
      </c>
      <c r="J18" s="19" t="s">
        <v>32</v>
      </c>
      <c r="K18" s="19" t="s">
        <v>16</v>
      </c>
      <c r="L18" s="21" t="str">
        <f t="shared" si="177"/>
        <v>N/A</v>
      </c>
      <c r="M18" s="21">
        <v>0</v>
      </c>
      <c r="N18" s="19" t="s">
        <v>16</v>
      </c>
      <c r="O18" s="19" t="s">
        <v>32</v>
      </c>
      <c r="P18" s="19" t="s">
        <v>16</v>
      </c>
      <c r="Q18" s="21" t="str">
        <f t="shared" si="178"/>
        <v>N/A</v>
      </c>
      <c r="R18" s="21">
        <v>0</v>
      </c>
      <c r="S18" s="19" t="s">
        <v>16</v>
      </c>
      <c r="T18" s="19" t="s">
        <v>32</v>
      </c>
      <c r="U18" s="19" t="s">
        <v>16</v>
      </c>
      <c r="V18" s="21" t="str">
        <f t="shared" si="179"/>
        <v>N/A</v>
      </c>
    </row>
    <row r="19" ht="29.100000000000001">
      <c r="A19">
        <v>166</v>
      </c>
      <c r="B19" s="8" t="s">
        <v>54</v>
      </c>
      <c r="C19">
        <v>0</v>
      </c>
      <c r="D19" s="19" t="s">
        <v>16</v>
      </c>
      <c r="E19" s="2" t="s">
        <v>32</v>
      </c>
      <c r="F19" s="19" t="s">
        <v>16</v>
      </c>
      <c r="G19" s="21" t="str">
        <f t="shared" si="175"/>
        <v>N/A</v>
      </c>
      <c r="H19" s="12">
        <f t="shared" si="176"/>
        <v>0</v>
      </c>
      <c r="I19" s="19" t="s">
        <v>16</v>
      </c>
      <c r="J19" s="19" t="s">
        <v>32</v>
      </c>
      <c r="K19" s="19" t="s">
        <v>16</v>
      </c>
      <c r="L19" s="21" t="str">
        <f t="shared" si="177"/>
        <v>N/A</v>
      </c>
      <c r="M19" s="1">
        <v>0</v>
      </c>
      <c r="N19" s="19" t="s">
        <v>16</v>
      </c>
      <c r="O19" s="19" t="s">
        <v>32</v>
      </c>
      <c r="P19" s="19" t="s">
        <v>16</v>
      </c>
      <c r="Q19" s="21" t="str">
        <f t="shared" si="178"/>
        <v>N/A</v>
      </c>
      <c r="R19" s="1">
        <v>1</v>
      </c>
      <c r="S19" s="19" t="s">
        <v>438</v>
      </c>
      <c r="T19" s="19" t="s">
        <v>439</v>
      </c>
      <c r="U19" s="19" t="s">
        <v>438</v>
      </c>
      <c r="V19" s="21" t="str">
        <f t="shared" si="179"/>
        <v xml:space="preserve">la llegada de la nueva DANA "llegada de la nueva DANA"</v>
      </c>
    </row>
    <row r="20" ht="57.950000000000003">
      <c r="A20">
        <v>167</v>
      </c>
      <c r="B20" s="8" t="s">
        <v>55</v>
      </c>
      <c r="C20" s="12">
        <v>1</v>
      </c>
      <c r="D20" s="19" t="s">
        <v>16</v>
      </c>
      <c r="E20" s="2" t="s">
        <v>440</v>
      </c>
      <c r="F20" s="19" t="s">
        <v>58</v>
      </c>
      <c r="G20" s="21" t="str">
        <f t="shared" si="175"/>
        <v xml:space="preserve">"Pasa con submarino" Pasa con submarino</v>
      </c>
      <c r="H20" s="12">
        <f t="shared" si="176"/>
        <v>0</v>
      </c>
      <c r="I20" s="19" t="s">
        <v>441</v>
      </c>
      <c r="J20" s="19" t="s">
        <v>442</v>
      </c>
      <c r="K20" s="19" t="s">
        <v>16</v>
      </c>
      <c r="L20" s="21" t="str">
        <f t="shared" si="177"/>
        <v xml:space="preserve">metro ... totalmente inundada "boca del metro en Valencia totalmente inundada"</v>
      </c>
      <c r="M20" s="21">
        <v>0</v>
      </c>
      <c r="N20" s="19" t="s">
        <v>16</v>
      </c>
      <c r="O20" s="19" t="s">
        <v>32</v>
      </c>
      <c r="P20" s="19" t="s">
        <v>16</v>
      </c>
      <c r="Q20" s="21" t="str">
        <f t="shared" si="178"/>
        <v>N/A</v>
      </c>
      <c r="R20" s="21">
        <v>0</v>
      </c>
      <c r="S20" s="19" t="s">
        <v>16</v>
      </c>
      <c r="T20" s="19" t="s">
        <v>32</v>
      </c>
      <c r="U20" s="19" t="s">
        <v>16</v>
      </c>
      <c r="V20" s="21" t="str">
        <f t="shared" si="179"/>
        <v>N/A</v>
      </c>
    </row>
    <row r="21" ht="72.599999999999994">
      <c r="A21">
        <v>173</v>
      </c>
      <c r="B21" s="8" t="s">
        <v>59</v>
      </c>
      <c r="C21">
        <v>0</v>
      </c>
      <c r="D21" s="19" t="s">
        <v>16</v>
      </c>
      <c r="E21" s="2" t="s">
        <v>32</v>
      </c>
      <c r="F21" s="19" t="s">
        <v>16</v>
      </c>
      <c r="G21" s="21" t="str">
        <f t="shared" si="175"/>
        <v>N/A</v>
      </c>
      <c r="H21" s="12">
        <f t="shared" si="176"/>
        <v>0</v>
      </c>
      <c r="I21" s="19" t="s">
        <v>16</v>
      </c>
      <c r="J21" s="19" t="s">
        <v>32</v>
      </c>
      <c r="K21" s="19" t="s">
        <v>16</v>
      </c>
      <c r="L21" s="21" t="str">
        <f t="shared" si="177"/>
        <v>N/A</v>
      </c>
      <c r="M21" s="1">
        <v>1</v>
      </c>
      <c r="N21" s="19" t="s">
        <v>115</v>
      </c>
      <c r="O21" s="19" t="s">
        <v>443</v>
      </c>
      <c r="P21" s="19" t="s">
        <v>444</v>
      </c>
      <c r="Q21" s="21" t="str">
        <f t="shared" si="178"/>
        <v xml:space="preserve">crítica situación "Nos desalojaban a nosotras pero a los perros no" Nos desalojaban a nosotras pero a los perros no</v>
      </c>
      <c r="R21" s="1">
        <v>0</v>
      </c>
      <c r="S21" s="19" t="s">
        <v>16</v>
      </c>
      <c r="T21" s="19" t="s">
        <v>32</v>
      </c>
      <c r="U21" s="19" t="s">
        <v>16</v>
      </c>
      <c r="V21" s="21" t="str">
        <f t="shared" si="179"/>
        <v>N/A</v>
      </c>
    </row>
    <row r="22" ht="29.100000000000001">
      <c r="A22">
        <v>176</v>
      </c>
      <c r="B22" s="8" t="s">
        <v>61</v>
      </c>
      <c r="C22">
        <v>0</v>
      </c>
      <c r="D22" s="19" t="s">
        <v>16</v>
      </c>
      <c r="E22" s="2" t="s">
        <v>32</v>
      </c>
      <c r="F22" s="19" t="s">
        <v>16</v>
      </c>
      <c r="G22" s="21" t="str">
        <f t="shared" si="175"/>
        <v>N/A</v>
      </c>
      <c r="H22" s="12">
        <f t="shared" si="176"/>
        <v>0</v>
      </c>
      <c r="I22" s="19" t="s">
        <v>445</v>
      </c>
      <c r="J22" s="19" t="s">
        <v>446</v>
      </c>
      <c r="K22" s="19" t="s">
        <v>16</v>
      </c>
      <c r="L22" s="21" t="str">
        <f t="shared" si="177"/>
        <v xml:space="preserve">suspenden las clases "suspende las clases"</v>
      </c>
      <c r="M22" s="1">
        <v>0</v>
      </c>
      <c r="N22" s="19" t="s">
        <v>16</v>
      </c>
      <c r="O22" s="19" t="s">
        <v>32</v>
      </c>
      <c r="P22" s="19" t="s">
        <v>16</v>
      </c>
      <c r="Q22" s="21" t="str">
        <f t="shared" si="178"/>
        <v>N/A</v>
      </c>
      <c r="R22" s="1">
        <v>0</v>
      </c>
      <c r="S22" s="19" t="s">
        <v>16</v>
      </c>
      <c r="T22" s="19" t="s">
        <v>447</v>
      </c>
      <c r="U22" s="19" t="s">
        <v>16</v>
      </c>
      <c r="V22" s="21" t="str">
        <f t="shared" si="179"/>
        <v xml:space="preserve">"ante la nueva DANA"</v>
      </c>
    </row>
    <row r="23" ht="72.599999999999994">
      <c r="A23">
        <v>180</v>
      </c>
      <c r="B23" s="8" t="s">
        <v>63</v>
      </c>
      <c r="C23">
        <v>0</v>
      </c>
      <c r="D23" s="19" t="s">
        <v>16</v>
      </c>
      <c r="E23" s="2" t="s">
        <v>32</v>
      </c>
      <c r="F23" s="19" t="s">
        <v>16</v>
      </c>
      <c r="G23" s="21" t="str">
        <f t="shared" si="175"/>
        <v>N/A</v>
      </c>
      <c r="H23" s="12">
        <f t="shared" si="176"/>
        <v>0</v>
      </c>
      <c r="I23" s="19" t="s">
        <v>16</v>
      </c>
      <c r="J23" s="19" t="s">
        <v>32</v>
      </c>
      <c r="K23" s="19" t="s">
        <v>16</v>
      </c>
      <c r="L23" s="21" t="str">
        <f t="shared" si="177"/>
        <v>N/A</v>
      </c>
      <c r="M23" s="1">
        <v>1</v>
      </c>
      <c r="N23" s="19" t="s">
        <v>448</v>
      </c>
      <c r="O23" s="19" t="s">
        <v>449</v>
      </c>
      <c r="P23" s="19" t="s">
        <v>322</v>
      </c>
      <c r="Q23" s="21" t="str">
        <f t="shared" si="178"/>
        <v xml:space="preserve">lentitud "Actuaron con lentitud" ¿Actuaron con lentitud los servicios de Emergencias y Protección civil valencianos?</v>
      </c>
      <c r="R23" s="1">
        <v>0</v>
      </c>
      <c r="S23" s="19" t="s">
        <v>16</v>
      </c>
      <c r="T23" s="19" t="s">
        <v>32</v>
      </c>
      <c r="U23" s="19" t="s">
        <v>16</v>
      </c>
      <c r="V23" s="21" t="str">
        <f t="shared" si="179"/>
        <v>N/A</v>
      </c>
    </row>
    <row r="24" ht="29.100000000000001">
      <c r="A24">
        <v>181</v>
      </c>
      <c r="B24" s="8" t="s">
        <v>64</v>
      </c>
      <c r="C24">
        <v>0</v>
      </c>
      <c r="D24" s="19" t="s">
        <v>16</v>
      </c>
      <c r="E24" s="2" t="s">
        <v>32</v>
      </c>
      <c r="F24" s="19" t="s">
        <v>16</v>
      </c>
      <c r="G24" s="21" t="str">
        <f t="shared" si="175"/>
        <v>N/A</v>
      </c>
      <c r="H24" s="12">
        <f t="shared" si="176"/>
        <v>0</v>
      </c>
      <c r="I24" s="19" t="s">
        <v>16</v>
      </c>
      <c r="J24" s="19" t="s">
        <v>32</v>
      </c>
      <c r="K24" s="19" t="s">
        <v>16</v>
      </c>
      <c r="L24" s="21" t="str">
        <f t="shared" si="177"/>
        <v>N/A</v>
      </c>
      <c r="M24" s="1">
        <v>0</v>
      </c>
      <c r="N24" s="19" t="s">
        <v>16</v>
      </c>
      <c r="O24" s="19" t="s">
        <v>32</v>
      </c>
      <c r="P24" s="19" t="s">
        <v>16</v>
      </c>
      <c r="Q24" s="21" t="str">
        <f t="shared" si="178"/>
        <v>N/A</v>
      </c>
      <c r="R24" s="1">
        <v>0</v>
      </c>
      <c r="S24" s="19" t="s">
        <v>16</v>
      </c>
      <c r="T24" s="19" t="s">
        <v>450</v>
      </c>
      <c r="U24" s="19" t="s">
        <v>16</v>
      </c>
      <c r="V24" s="21" t="str">
        <f t="shared" si="179"/>
        <v xml:space="preserve">"poner en riesgo tu salud"</v>
      </c>
    </row>
    <row r="25" ht="43.5">
      <c r="A25">
        <v>186</v>
      </c>
      <c r="B25" s="8" t="s">
        <v>65</v>
      </c>
      <c r="C25">
        <v>0</v>
      </c>
      <c r="D25" s="19" t="s">
        <v>16</v>
      </c>
      <c r="E25" s="2" t="s">
        <v>32</v>
      </c>
      <c r="F25" s="19" t="s">
        <v>16</v>
      </c>
      <c r="G25" s="21" t="str">
        <f t="shared" si="175"/>
        <v>N/A</v>
      </c>
      <c r="H25" s="12">
        <f t="shared" si="176"/>
        <v>0</v>
      </c>
      <c r="I25" s="19" t="s">
        <v>16</v>
      </c>
      <c r="J25" s="19" t="s">
        <v>451</v>
      </c>
      <c r="K25" s="19" t="s">
        <v>16</v>
      </c>
      <c r="L25" s="21" t="str">
        <f t="shared" si="177"/>
        <v xml:space="preserve">"atrapados en la carretera"</v>
      </c>
      <c r="M25" s="1">
        <v>1</v>
      </c>
      <c r="N25" s="19" t="s">
        <v>452</v>
      </c>
      <c r="O25" s="19" t="s">
        <v>32</v>
      </c>
      <c r="P25" s="19" t="s">
        <v>453</v>
      </c>
      <c r="Q25" s="21" t="str">
        <f t="shared" si="178"/>
        <v xml:space="preserve">conductores atrapados N/A conductores atrapados en la carretera</v>
      </c>
      <c r="R25" s="1">
        <v>0</v>
      </c>
      <c r="S25" s="19" t="s">
        <v>16</v>
      </c>
      <c r="T25" s="19" t="s">
        <v>32</v>
      </c>
      <c r="U25" s="19" t="s">
        <v>16</v>
      </c>
      <c r="V25" s="21" t="str">
        <f t="shared" si="179"/>
        <v>N/A</v>
      </c>
    </row>
    <row r="26" ht="29.100000000000001">
      <c r="A26">
        <v>187</v>
      </c>
      <c r="B26" s="8" t="s">
        <v>68</v>
      </c>
      <c r="C26">
        <v>0</v>
      </c>
      <c r="D26" s="19" t="s">
        <v>16</v>
      </c>
      <c r="E26" s="2" t="s">
        <v>32</v>
      </c>
      <c r="F26" s="19" t="s">
        <v>16</v>
      </c>
      <c r="G26" s="21" t="str">
        <f t="shared" si="175"/>
        <v>N/A</v>
      </c>
      <c r="H26" s="12">
        <f t="shared" si="176"/>
        <v>0</v>
      </c>
      <c r="I26" s="19" t="s">
        <v>16</v>
      </c>
      <c r="J26" s="19" t="s">
        <v>32</v>
      </c>
      <c r="K26" s="19" t="s">
        <v>16</v>
      </c>
      <c r="L26" s="21" t="str">
        <f t="shared" si="177"/>
        <v>N/A</v>
      </c>
      <c r="M26" s="1">
        <v>0</v>
      </c>
      <c r="N26" s="19" t="s">
        <v>16</v>
      </c>
      <c r="O26" s="19" t="s">
        <v>32</v>
      </c>
      <c r="P26" s="19" t="s">
        <v>16</v>
      </c>
      <c r="Q26" s="21" t="str">
        <f t="shared" si="178"/>
        <v>N/A</v>
      </c>
      <c r="R26" s="1">
        <v>0</v>
      </c>
      <c r="S26" s="19" t="s">
        <v>16</v>
      </c>
      <c r="T26" s="19" t="s">
        <v>32</v>
      </c>
      <c r="U26" s="19" t="s">
        <v>16</v>
      </c>
      <c r="V26" s="21" t="str">
        <f t="shared" si="179"/>
        <v>N/A</v>
      </c>
    </row>
    <row r="27">
      <c r="A27">
        <v>195</v>
      </c>
      <c r="B27" s="8" t="s">
        <v>69</v>
      </c>
      <c r="C27">
        <v>0</v>
      </c>
      <c r="D27" s="19" t="s">
        <v>16</v>
      </c>
      <c r="E27" s="2" t="s">
        <v>32</v>
      </c>
      <c r="F27" s="19" t="s">
        <v>16</v>
      </c>
      <c r="G27" s="21" t="str">
        <f t="shared" si="175"/>
        <v>N/A</v>
      </c>
      <c r="H27" s="12">
        <f t="shared" si="176"/>
        <v>0</v>
      </c>
      <c r="I27" s="19" t="s">
        <v>16</v>
      </c>
      <c r="J27" s="19" t="s">
        <v>32</v>
      </c>
      <c r="K27" s="19" t="s">
        <v>16</v>
      </c>
      <c r="L27" s="21" t="str">
        <f t="shared" si="177"/>
        <v>N/A</v>
      </c>
      <c r="M27" s="1">
        <v>0</v>
      </c>
      <c r="N27" s="19" t="s">
        <v>16</v>
      </c>
      <c r="O27" s="19" t="s">
        <v>32</v>
      </c>
      <c r="P27" s="19" t="s">
        <v>16</v>
      </c>
      <c r="Q27" s="21" t="str">
        <f t="shared" si="178"/>
        <v>N/A</v>
      </c>
      <c r="R27" s="1">
        <v>0</v>
      </c>
      <c r="S27" s="19" t="s">
        <v>16</v>
      </c>
      <c r="T27" s="19" t="s">
        <v>32</v>
      </c>
      <c r="U27" s="19" t="s">
        <v>16</v>
      </c>
      <c r="V27" s="21" t="str">
        <f t="shared" si="179"/>
        <v>N/A</v>
      </c>
    </row>
    <row r="28" ht="57.950000000000003">
      <c r="A28">
        <v>203</v>
      </c>
      <c r="B28" s="8" t="s">
        <v>70</v>
      </c>
      <c r="C28">
        <v>0</v>
      </c>
      <c r="D28" s="19" t="s">
        <v>16</v>
      </c>
      <c r="E28" s="2" t="s">
        <v>71</v>
      </c>
      <c r="F28" s="19" t="s">
        <v>16</v>
      </c>
      <c r="G28" s="21" t="str">
        <f t="shared" si="175"/>
        <v xml:space="preserve">"epicentro de la tragedia"</v>
      </c>
      <c r="H28" s="12">
        <f t="shared" si="176"/>
        <v>0</v>
      </c>
      <c r="I28" s="19" t="s">
        <v>454</v>
      </c>
      <c r="J28" s="19" t="s">
        <v>455</v>
      </c>
      <c r="K28" s="19" t="s">
        <v>456</v>
      </c>
      <c r="L28" s="21" t="str">
        <f t="shared" si="177"/>
        <v xml:space="preserve">incomunicado "incomunicado" un pueblo devastado e incomunicado</v>
      </c>
      <c r="M28" s="1">
        <v>0</v>
      </c>
      <c r="N28" s="19" t="s">
        <v>457</v>
      </c>
      <c r="O28" s="19" t="s">
        <v>32</v>
      </c>
      <c r="P28" s="19" t="s">
        <v>16</v>
      </c>
      <c r="Q28" s="21" t="str">
        <f t="shared" si="178"/>
        <v xml:space="preserve">40 muertos y desaparecidos N/A</v>
      </c>
      <c r="R28" s="1">
        <v>0</v>
      </c>
      <c r="S28" s="19" t="s">
        <v>16</v>
      </c>
      <c r="T28" s="19" t="s">
        <v>32</v>
      </c>
      <c r="U28" s="19" t="s">
        <v>16</v>
      </c>
      <c r="V28" s="21" t="str">
        <f t="shared" si="179"/>
        <v>N/A</v>
      </c>
    </row>
    <row r="29" ht="57.950000000000003">
      <c r="A29">
        <v>205</v>
      </c>
      <c r="B29" s="8" t="s">
        <v>73</v>
      </c>
      <c r="C29">
        <v>0</v>
      </c>
      <c r="D29" s="19" t="s">
        <v>16</v>
      </c>
      <c r="E29" s="2" t="s">
        <v>458</v>
      </c>
      <c r="F29" s="19" t="s">
        <v>16</v>
      </c>
      <c r="G29" s="21" t="str">
        <f t="shared" si="175"/>
        <v xml:space="preserve">"el más grande de Europa"</v>
      </c>
      <c r="H29" s="12">
        <f t="shared" si="176"/>
        <v>0</v>
      </c>
      <c r="I29" s="19" t="s">
        <v>16</v>
      </c>
      <c r="J29" s="19" t="s">
        <v>459</v>
      </c>
      <c r="K29" s="19" t="s">
        <v>16</v>
      </c>
      <c r="L29" s="21" t="str">
        <f t="shared" si="177"/>
        <v xml:space="preserve">"parking anegado"</v>
      </c>
      <c r="M29" s="1">
        <v>1</v>
      </c>
      <c r="N29" s="19" t="s">
        <v>75</v>
      </c>
      <c r="O29" s="19" t="s">
        <v>32</v>
      </c>
      <c r="P29" s="19" t="s">
        <v>75</v>
      </c>
      <c r="Q29" s="21" t="str">
        <f t="shared" si="178"/>
        <v xml:space="preserve">se teme que pueda haber numerosas víctimas N/A</v>
      </c>
      <c r="R29" s="1">
        <v>1</v>
      </c>
      <c r="S29" s="19" t="s">
        <v>75</v>
      </c>
      <c r="T29" s="19" t="s">
        <v>74</v>
      </c>
      <c r="U29" s="19" t="s">
        <v>16</v>
      </c>
      <c r="V29" s="21" t="str">
        <f t="shared" si="179"/>
        <v xml:space="preserve">se teme que pueda haber numerosas víctimas "se teme que pueda haber numerosas víctimas"</v>
      </c>
    </row>
    <row r="30">
      <c r="A30">
        <v>208</v>
      </c>
      <c r="B30" s="8" t="s">
        <v>76</v>
      </c>
      <c r="C30">
        <v>0</v>
      </c>
      <c r="D30" s="19" t="s">
        <v>16</v>
      </c>
      <c r="E30" s="2" t="s">
        <v>32</v>
      </c>
      <c r="F30" s="19" t="s">
        <v>16</v>
      </c>
      <c r="G30" s="21" t="str">
        <f t="shared" si="175"/>
        <v>N/A</v>
      </c>
      <c r="H30" s="12">
        <f t="shared" si="176"/>
        <v>0</v>
      </c>
      <c r="I30" s="19" t="s">
        <v>16</v>
      </c>
      <c r="J30" s="19" t="s">
        <v>32</v>
      </c>
      <c r="K30" s="19" t="s">
        <v>16</v>
      </c>
      <c r="L30" s="21" t="str">
        <f t="shared" si="177"/>
        <v>N/A</v>
      </c>
      <c r="M30" s="1">
        <v>0</v>
      </c>
      <c r="N30" s="19" t="s">
        <v>16</v>
      </c>
      <c r="O30" s="19" t="s">
        <v>32</v>
      </c>
      <c r="P30" s="19" t="s">
        <v>16</v>
      </c>
      <c r="Q30" s="21" t="str">
        <f t="shared" si="178"/>
        <v>N/A</v>
      </c>
      <c r="R30" s="1">
        <v>0</v>
      </c>
      <c r="S30" s="19" t="s">
        <v>16</v>
      </c>
      <c r="T30" s="19" t="s">
        <v>32</v>
      </c>
      <c r="U30" s="19" t="s">
        <v>16</v>
      </c>
      <c r="V30" s="21" t="str">
        <f t="shared" si="179"/>
        <v>N/A</v>
      </c>
    </row>
    <row r="31" ht="29.100000000000001">
      <c r="A31">
        <v>210</v>
      </c>
      <c r="B31" s="8" t="s">
        <v>77</v>
      </c>
      <c r="C31">
        <v>0</v>
      </c>
      <c r="D31" s="19" t="s">
        <v>16</v>
      </c>
      <c r="E31" s="2" t="s">
        <v>32</v>
      </c>
      <c r="F31" s="19" t="s">
        <v>16</v>
      </c>
      <c r="G31" s="21" t="str">
        <f t="shared" si="175"/>
        <v>N/A</v>
      </c>
      <c r="H31" s="12">
        <f t="shared" si="176"/>
        <v>0</v>
      </c>
      <c r="I31" s="19" t="s">
        <v>16</v>
      </c>
      <c r="J31" s="19" t="s">
        <v>32</v>
      </c>
      <c r="K31" s="19" t="s">
        <v>16</v>
      </c>
      <c r="L31" s="21" t="str">
        <f t="shared" si="177"/>
        <v>N/A</v>
      </c>
      <c r="M31" s="1">
        <v>0</v>
      </c>
      <c r="N31" s="19" t="s">
        <v>16</v>
      </c>
      <c r="O31" s="19" t="s">
        <v>32</v>
      </c>
      <c r="P31" s="19" t="s">
        <v>16</v>
      </c>
      <c r="Q31" s="21" t="str">
        <f t="shared" si="178"/>
        <v>N/A</v>
      </c>
      <c r="R31" s="1">
        <v>0</v>
      </c>
      <c r="S31" s="19" t="s">
        <v>16</v>
      </c>
      <c r="T31" s="19" t="s">
        <v>460</v>
      </c>
      <c r="U31" s="19" t="s">
        <v>16</v>
      </c>
      <c r="V31" s="21" t="str">
        <f t="shared" si="179"/>
        <v xml:space="preserve">"En la superficie no hay más cuerpos"</v>
      </c>
    </row>
    <row r="32" ht="72.599999999999994">
      <c r="A32">
        <v>219</v>
      </c>
      <c r="B32" s="8" t="s">
        <v>78</v>
      </c>
      <c r="C32">
        <v>1</v>
      </c>
      <c r="D32" s="19" t="s">
        <v>461</v>
      </c>
      <c r="E32" s="2" t="s">
        <v>462</v>
      </c>
      <c r="F32" s="19" t="s">
        <v>463</v>
      </c>
      <c r="G32" s="21" t="str">
        <f t="shared" si="175"/>
        <v xml:space="preserve">más devastadora del siglo "Apocalipsis" / "más devastadora del siglo" DANA más devastadora del siglo</v>
      </c>
      <c r="H32" s="12">
        <f t="shared" si="176"/>
        <v>0</v>
      </c>
      <c r="I32" s="19" t="s">
        <v>464</v>
      </c>
      <c r="J32" s="19" t="s">
        <v>465</v>
      </c>
      <c r="K32" s="19" t="s">
        <v>16</v>
      </c>
      <c r="L32" s="21" t="str">
        <f t="shared" si="177"/>
        <v xml:space="preserve">todas las alertas sobrepasadas "todas las alertas sobrepasadas"</v>
      </c>
      <c r="M32" s="1">
        <v>0</v>
      </c>
      <c r="N32" s="19" t="s">
        <v>16</v>
      </c>
      <c r="O32" s="19" t="s">
        <v>32</v>
      </c>
      <c r="P32" s="19" t="s">
        <v>464</v>
      </c>
      <c r="Q32" s="21" t="str">
        <f t="shared" si="178"/>
        <v xml:space="preserve">N/A todas las alertas sobrepasadas</v>
      </c>
      <c r="R32" s="1">
        <v>0</v>
      </c>
      <c r="S32" s="19" t="s">
        <v>16</v>
      </c>
      <c r="T32" s="19" t="s">
        <v>32</v>
      </c>
      <c r="U32" s="19" t="s">
        <v>16</v>
      </c>
      <c r="V32" s="21" t="str">
        <f t="shared" si="179"/>
        <v>N/A</v>
      </c>
    </row>
    <row r="33" ht="43.5">
      <c r="A33">
        <v>231</v>
      </c>
      <c r="B33" s="8" t="s">
        <v>81</v>
      </c>
      <c r="C33">
        <v>1</v>
      </c>
      <c r="D33" s="19" t="s">
        <v>466</v>
      </c>
      <c r="E33" s="2" t="s">
        <v>467</v>
      </c>
      <c r="F33" s="19" t="s">
        <v>110</v>
      </c>
      <c r="G33" s="21" t="str">
        <f t="shared" si="175"/>
        <v xml:space="preserve">diluvio "milagro bajo el diluvio" El milagro bajo el diluvio</v>
      </c>
      <c r="H33" s="12">
        <f t="shared" si="176"/>
        <v>0</v>
      </c>
      <c r="I33" s="19" t="s">
        <v>16</v>
      </c>
      <c r="J33" s="19" t="s">
        <v>32</v>
      </c>
      <c r="K33" s="19" t="s">
        <v>16</v>
      </c>
      <c r="L33" s="21" t="str">
        <f t="shared" si="177"/>
        <v>N/A</v>
      </c>
      <c r="M33" s="1">
        <v>0</v>
      </c>
      <c r="N33" s="19" t="s">
        <v>16</v>
      </c>
      <c r="O33" s="19" t="s">
        <v>32</v>
      </c>
      <c r="P33" s="19" t="s">
        <v>16</v>
      </c>
      <c r="Q33" s="21" t="str">
        <f t="shared" si="178"/>
        <v>N/A</v>
      </c>
      <c r="R33" s="1">
        <v>0</v>
      </c>
      <c r="S33" s="19" t="s">
        <v>16</v>
      </c>
      <c r="T33" s="19" t="s">
        <v>32</v>
      </c>
      <c r="U33" s="19" t="s">
        <v>16</v>
      </c>
      <c r="V33" s="21" t="str">
        <f t="shared" si="179"/>
        <v>N/A</v>
      </c>
    </row>
    <row r="34" ht="43.5">
      <c r="A34">
        <v>232</v>
      </c>
      <c r="B34" s="8" t="s">
        <v>85</v>
      </c>
      <c r="C34" s="12">
        <v>0</v>
      </c>
      <c r="D34" s="19" t="s">
        <v>16</v>
      </c>
      <c r="E34" s="2" t="s">
        <v>32</v>
      </c>
      <c r="F34" s="19" t="s">
        <v>16</v>
      </c>
      <c r="G34" s="21" t="str">
        <f t="shared" si="175"/>
        <v>N/A</v>
      </c>
      <c r="H34" s="12">
        <f t="shared" si="176"/>
        <v>0</v>
      </c>
      <c r="I34" s="19" t="s">
        <v>16</v>
      </c>
      <c r="J34" s="19" t="s">
        <v>32</v>
      </c>
      <c r="K34" s="19" t="s">
        <v>16</v>
      </c>
      <c r="L34" s="21" t="str">
        <f t="shared" si="177"/>
        <v>N/A</v>
      </c>
      <c r="M34" s="22">
        <v>0</v>
      </c>
      <c r="N34" s="19" t="s">
        <v>16</v>
      </c>
      <c r="O34" s="19" t="s">
        <v>32</v>
      </c>
      <c r="P34" s="19" t="s">
        <v>16</v>
      </c>
      <c r="Q34" s="21" t="str">
        <f t="shared" si="178"/>
        <v>N/A</v>
      </c>
      <c r="R34" s="21">
        <v>1</v>
      </c>
      <c r="S34" s="19" t="s">
        <v>468</v>
      </c>
      <c r="T34" s="19" t="s">
        <v>469</v>
      </c>
      <c r="U34" s="19" t="s">
        <v>468</v>
      </c>
      <c r="V34" s="21" t="str">
        <f t="shared" si="179"/>
        <v xml:space="preserve">las lluvias seguirán durante la semana "lluvias seguirán durante la semana"</v>
      </c>
    </row>
    <row r="35" ht="43.5">
      <c r="A35">
        <v>234</v>
      </c>
      <c r="B35" s="8" t="s">
        <v>87</v>
      </c>
      <c r="C35" s="23">
        <v>0</v>
      </c>
      <c r="D35" s="19" t="s">
        <v>16</v>
      </c>
      <c r="E35" s="2" t="s">
        <v>32</v>
      </c>
      <c r="F35" s="19" t="s">
        <v>470</v>
      </c>
      <c r="G35" s="21" t="str">
        <f t="shared" si="175"/>
        <v xml:space="preserve">N/A lluvias de hasta 180 l/m2 en sólo cuatro o cinco horas</v>
      </c>
      <c r="H35" s="12">
        <f t="shared" si="176"/>
        <v>0</v>
      </c>
      <c r="I35" s="19" t="s">
        <v>16</v>
      </c>
      <c r="J35" s="19" t="s">
        <v>32</v>
      </c>
      <c r="K35" s="19" t="s">
        <v>16</v>
      </c>
      <c r="L35" s="21" t="str">
        <f t="shared" si="177"/>
        <v>N/A</v>
      </c>
      <c r="M35" s="12">
        <v>0</v>
      </c>
      <c r="N35" s="19" t="s">
        <v>16</v>
      </c>
      <c r="O35" s="19" t="s">
        <v>32</v>
      </c>
      <c r="P35" s="19" t="s">
        <v>16</v>
      </c>
      <c r="Q35" s="21" t="str">
        <f t="shared" si="178"/>
        <v>N/A</v>
      </c>
      <c r="R35" s="12">
        <v>1</v>
      </c>
      <c r="S35" s="19" t="s">
        <v>16</v>
      </c>
      <c r="T35" s="19" t="s">
        <v>471</v>
      </c>
      <c r="U35" s="19" t="s">
        <v>472</v>
      </c>
      <c r="V35" s="21" t="str">
        <f t="shared" si="179"/>
        <v xml:space="preserve">"eleva a nivel rojo el aviso" Aemet eleva a nivel rojo el aviso en Valencia</v>
      </c>
    </row>
    <row r="36" ht="43.5">
      <c r="A36">
        <v>258</v>
      </c>
      <c r="B36" s="8" t="s">
        <v>88</v>
      </c>
      <c r="C36">
        <v>0</v>
      </c>
      <c r="D36" s="19" t="s">
        <v>16</v>
      </c>
      <c r="E36" s="2" t="s">
        <v>32</v>
      </c>
      <c r="F36" s="19" t="s">
        <v>16</v>
      </c>
      <c r="G36" s="21" t="str">
        <f t="shared" si="175"/>
        <v>N/A</v>
      </c>
      <c r="H36" s="12">
        <f t="shared" si="176"/>
        <v>0</v>
      </c>
      <c r="I36" s="19" t="s">
        <v>16</v>
      </c>
      <c r="J36" s="19" t="s">
        <v>32</v>
      </c>
      <c r="K36" s="19" t="s">
        <v>16</v>
      </c>
      <c r="L36" s="21" t="str">
        <f t="shared" si="177"/>
        <v>N/A</v>
      </c>
      <c r="M36" s="1">
        <v>1</v>
      </c>
      <c r="N36" s="19" t="s">
        <v>119</v>
      </c>
      <c r="O36" s="19" t="s">
        <v>89</v>
      </c>
      <c r="P36" s="19" t="s">
        <v>473</v>
      </c>
      <c r="Q36" s="21" t="str">
        <f t="shared" si="178"/>
        <v xml:space="preserve">cúmulo de errores "cúmulo de errores" un cúmulo de errores</v>
      </c>
      <c r="R36" s="1">
        <v>0</v>
      </c>
      <c r="S36" s="19" t="s">
        <v>16</v>
      </c>
      <c r="T36" s="19" t="s">
        <v>32</v>
      </c>
      <c r="U36" s="19" t="s">
        <v>16</v>
      </c>
      <c r="V36" s="21" t="str">
        <f t="shared" si="179"/>
        <v>N/A</v>
      </c>
    </row>
    <row r="37">
      <c r="A37">
        <v>264</v>
      </c>
      <c r="B37" s="8" t="s">
        <v>90</v>
      </c>
      <c r="C37">
        <v>0</v>
      </c>
      <c r="D37" s="19" t="s">
        <v>16</v>
      </c>
      <c r="E37" s="2" t="s">
        <v>32</v>
      </c>
      <c r="F37" s="19" t="s">
        <v>16</v>
      </c>
      <c r="G37" s="21" t="str">
        <f t="shared" si="175"/>
        <v>N/A</v>
      </c>
      <c r="H37" s="12">
        <f t="shared" si="176"/>
        <v>0</v>
      </c>
      <c r="I37" s="19" t="s">
        <v>16</v>
      </c>
      <c r="J37" s="19" t="s">
        <v>32</v>
      </c>
      <c r="K37" s="19" t="s">
        <v>16</v>
      </c>
      <c r="L37" s="21" t="str">
        <f t="shared" si="177"/>
        <v>N/A</v>
      </c>
      <c r="M37" s="1">
        <v>0</v>
      </c>
      <c r="N37" s="19" t="s">
        <v>16</v>
      </c>
      <c r="O37" s="19" t="s">
        <v>32</v>
      </c>
      <c r="P37" s="19" t="s">
        <v>16</v>
      </c>
      <c r="Q37" s="21" t="str">
        <f t="shared" si="178"/>
        <v>N/A</v>
      </c>
      <c r="R37" s="1">
        <v>0</v>
      </c>
      <c r="S37" s="19" t="s">
        <v>16</v>
      </c>
      <c r="T37" s="19" t="s">
        <v>32</v>
      </c>
      <c r="U37" s="19" t="s">
        <v>16</v>
      </c>
      <c r="V37" s="21" t="str">
        <f t="shared" si="179"/>
        <v>N/A</v>
      </c>
    </row>
    <row r="38">
      <c r="A38">
        <v>265</v>
      </c>
      <c r="B38" s="8" t="s">
        <v>92</v>
      </c>
      <c r="C38">
        <v>0</v>
      </c>
      <c r="D38" s="19" t="s">
        <v>16</v>
      </c>
      <c r="E38" s="2" t="s">
        <v>32</v>
      </c>
      <c r="F38" s="19" t="s">
        <v>16</v>
      </c>
      <c r="G38" s="21" t="str">
        <f t="shared" si="175"/>
        <v>N/A</v>
      </c>
      <c r="H38" s="12">
        <f t="shared" si="176"/>
        <v>0</v>
      </c>
      <c r="I38" s="19" t="s">
        <v>16</v>
      </c>
      <c r="J38" s="19" t="s">
        <v>32</v>
      </c>
      <c r="K38" s="19" t="s">
        <v>16</v>
      </c>
      <c r="L38" s="21" t="str">
        <f t="shared" si="177"/>
        <v>N/A</v>
      </c>
      <c r="M38" s="1">
        <v>0</v>
      </c>
      <c r="N38" s="19" t="s">
        <v>16</v>
      </c>
      <c r="O38" s="19" t="s">
        <v>474</v>
      </c>
      <c r="P38" s="19" t="s">
        <v>16</v>
      </c>
      <c r="Q38" s="21" t="str">
        <f t="shared" si="178"/>
        <v xml:space="preserve">"responsable de la alerta"</v>
      </c>
      <c r="R38" s="1">
        <v>0</v>
      </c>
      <c r="S38" s="19" t="s">
        <v>16</v>
      </c>
      <c r="T38" s="19" t="s">
        <v>32</v>
      </c>
      <c r="U38" s="19" t="s">
        <v>16</v>
      </c>
      <c r="V38" s="21" t="str">
        <f t="shared" si="179"/>
        <v>N/A</v>
      </c>
    </row>
    <row r="39">
      <c r="A39">
        <v>268</v>
      </c>
      <c r="B39" s="8" t="s">
        <v>94</v>
      </c>
      <c r="C39">
        <v>0</v>
      </c>
      <c r="D39" s="19" t="s">
        <v>16</v>
      </c>
      <c r="E39" s="2" t="s">
        <v>32</v>
      </c>
      <c r="F39" s="19" t="s">
        <v>16</v>
      </c>
      <c r="G39" s="21" t="str">
        <f t="shared" si="175"/>
        <v>N/A</v>
      </c>
      <c r="H39" s="12">
        <f t="shared" si="176"/>
        <v>0</v>
      </c>
      <c r="I39" s="19" t="s">
        <v>16</v>
      </c>
      <c r="J39" s="19" t="s">
        <v>32</v>
      </c>
      <c r="K39" s="19" t="s">
        <v>16</v>
      </c>
      <c r="L39" s="21" t="str">
        <f t="shared" si="177"/>
        <v>N/A</v>
      </c>
      <c r="M39" s="1">
        <v>0</v>
      </c>
      <c r="N39" s="19" t="s">
        <v>16</v>
      </c>
      <c r="O39" s="19" t="s">
        <v>32</v>
      </c>
      <c r="P39" s="19" t="s">
        <v>16</v>
      </c>
      <c r="Q39" s="21" t="str">
        <f t="shared" si="178"/>
        <v>N/A</v>
      </c>
      <c r="R39" s="1">
        <v>0</v>
      </c>
      <c r="S39" s="19" t="s">
        <v>16</v>
      </c>
      <c r="T39" s="19" t="s">
        <v>32</v>
      </c>
      <c r="U39" s="19" t="s">
        <v>16</v>
      </c>
      <c r="V39" s="21" t="str">
        <f t="shared" si="179"/>
        <v>N/A</v>
      </c>
    </row>
    <row r="40" ht="57.950000000000003">
      <c r="A40">
        <v>271</v>
      </c>
      <c r="B40" s="8" t="s">
        <v>95</v>
      </c>
      <c r="C40">
        <v>0</v>
      </c>
      <c r="D40" s="19" t="s">
        <v>16</v>
      </c>
      <c r="E40" s="2" t="s">
        <v>32</v>
      </c>
      <c r="F40" s="19" t="s">
        <v>16</v>
      </c>
      <c r="G40" s="21" t="str">
        <f t="shared" si="175"/>
        <v>N/A</v>
      </c>
      <c r="H40" s="12">
        <f t="shared" si="176"/>
        <v>0</v>
      </c>
      <c r="I40" s="19" t="s">
        <v>16</v>
      </c>
      <c r="J40" s="19" t="s">
        <v>32</v>
      </c>
      <c r="K40" s="19" t="s">
        <v>16</v>
      </c>
      <c r="L40" s="21" t="str">
        <f t="shared" si="177"/>
        <v>N/A</v>
      </c>
      <c r="M40" s="1">
        <v>0</v>
      </c>
      <c r="N40" s="19" t="s">
        <v>16</v>
      </c>
      <c r="O40" s="19" t="s">
        <v>32</v>
      </c>
      <c r="P40" s="19" t="s">
        <v>16</v>
      </c>
      <c r="Q40" s="21" t="str">
        <f t="shared" si="178"/>
        <v>N/A</v>
      </c>
      <c r="R40" s="1">
        <v>1</v>
      </c>
      <c r="S40" s="19" t="s">
        <v>475</v>
      </c>
      <c r="T40" s="19" t="s">
        <v>476</v>
      </c>
      <c r="U40" s="19" t="s">
        <v>477</v>
      </c>
      <c r="V40" s="21" t="str">
        <f t="shared" si="179"/>
        <v xml:space="preserve">Las infecciones que acechan tras la DANA "infecciones que acechan" infecciones que acechan tras la DANA</v>
      </c>
    </row>
    <row r="41" ht="72.599999999999994">
      <c r="A41">
        <v>274</v>
      </c>
      <c r="B41" s="8" t="s">
        <v>98</v>
      </c>
      <c r="C41">
        <v>0</v>
      </c>
      <c r="D41" s="19" t="s">
        <v>16</v>
      </c>
      <c r="E41" s="2" t="s">
        <v>478</v>
      </c>
      <c r="F41" s="19" t="s">
        <v>16</v>
      </c>
      <c r="G41" s="21" t="str">
        <f t="shared" si="175"/>
        <v xml:space="preserve">"Nunca recuperaremos la normalidad"</v>
      </c>
      <c r="H41" s="12">
        <f t="shared" si="176"/>
        <v>0</v>
      </c>
      <c r="I41" s="19" t="s">
        <v>16</v>
      </c>
      <c r="J41" s="19" t="s">
        <v>32</v>
      </c>
      <c r="K41" s="19" t="s">
        <v>16</v>
      </c>
      <c r="L41" s="21" t="str">
        <f t="shared" si="177"/>
        <v>N/A</v>
      </c>
      <c r="M41" s="1">
        <v>1</v>
      </c>
      <c r="N41" s="19" t="s">
        <v>100</v>
      </c>
      <c r="O41" s="19" t="s">
        <v>32</v>
      </c>
      <c r="P41" s="19" t="s">
        <v>479</v>
      </c>
      <c r="Q41" s="21" t="str">
        <f t="shared" si="178"/>
        <v xml:space="preserve">Nunca recuperaremos la normalidad N/A Desolación e incertidumbre entre los alcaldes</v>
      </c>
      <c r="R41" s="1">
        <v>1</v>
      </c>
      <c r="S41" s="19" t="s">
        <v>100</v>
      </c>
      <c r="T41" s="19" t="s">
        <v>478</v>
      </c>
      <c r="U41" s="19" t="s">
        <v>100</v>
      </c>
      <c r="V41" s="21" t="str">
        <f t="shared" si="179"/>
        <v xml:space="preserve">Nunca recuperaremos la normalidad "Nunca recuperaremos la normalidad"</v>
      </c>
    </row>
    <row r="42" ht="29.100000000000001">
      <c r="A42">
        <v>278</v>
      </c>
      <c r="B42" s="8" t="s">
        <v>101</v>
      </c>
      <c r="C42" s="12">
        <v>1</v>
      </c>
      <c r="D42" s="19" t="s">
        <v>102</v>
      </c>
      <c r="E42" s="2" t="s">
        <v>480</v>
      </c>
      <c r="F42" s="19" t="s">
        <v>102</v>
      </c>
      <c r="G42" s="21" t="str">
        <f t="shared" si="175"/>
        <v xml:space="preserve">La DANA del siglo "del siglo"</v>
      </c>
      <c r="H42" s="12">
        <f t="shared" si="176"/>
        <v>0</v>
      </c>
      <c r="I42" s="19" t="s">
        <v>481</v>
      </c>
      <c r="J42" s="19" t="s">
        <v>32</v>
      </c>
      <c r="K42" s="19" t="s">
        <v>16</v>
      </c>
      <c r="L42" s="21" t="str">
        <f t="shared" si="177"/>
        <v xml:space="preserve">arrasa N/A</v>
      </c>
      <c r="M42" s="21">
        <v>0</v>
      </c>
      <c r="N42" s="19" t="s">
        <v>16</v>
      </c>
      <c r="O42" s="19" t="s">
        <v>32</v>
      </c>
      <c r="P42" s="19" t="s">
        <v>482</v>
      </c>
      <c r="Q42" s="21" t="str">
        <f t="shared" si="178"/>
        <v xml:space="preserve">N/A cientos de atrapados</v>
      </c>
      <c r="R42" s="21">
        <v>0</v>
      </c>
      <c r="S42" s="19" t="s">
        <v>16</v>
      </c>
      <c r="T42" s="19" t="s">
        <v>32</v>
      </c>
      <c r="U42" s="19" t="s">
        <v>16</v>
      </c>
      <c r="V42" s="21" t="str">
        <f t="shared" si="179"/>
        <v>N/A</v>
      </c>
    </row>
    <row r="43" ht="29.100000000000001">
      <c r="A43">
        <v>284</v>
      </c>
      <c r="B43" s="8" t="s">
        <v>104</v>
      </c>
      <c r="C43">
        <v>0</v>
      </c>
      <c r="D43" s="19" t="s">
        <v>16</v>
      </c>
      <c r="E43" s="2" t="s">
        <v>32</v>
      </c>
      <c r="F43" s="19" t="s">
        <v>16</v>
      </c>
      <c r="G43" s="21" t="str">
        <f t="shared" si="175"/>
        <v>N/A</v>
      </c>
      <c r="H43" s="12">
        <f t="shared" si="176"/>
        <v>0</v>
      </c>
      <c r="I43" s="19" t="s">
        <v>483</v>
      </c>
      <c r="J43" s="19" t="s">
        <v>32</v>
      </c>
      <c r="K43" s="19" t="s">
        <v>16</v>
      </c>
      <c r="L43" s="21" t="str">
        <f t="shared" si="177"/>
        <v xml:space="preserve">inunda dos residencias de ancianos N/A</v>
      </c>
      <c r="M43" s="1">
        <v>0</v>
      </c>
      <c r="N43" s="19" t="s">
        <v>16</v>
      </c>
      <c r="O43" s="19" t="s">
        <v>32</v>
      </c>
      <c r="P43" s="19" t="s">
        <v>16</v>
      </c>
      <c r="Q43" s="21" t="str">
        <f t="shared" si="178"/>
        <v>N/A</v>
      </c>
      <c r="R43" s="1">
        <v>0</v>
      </c>
      <c r="S43" s="19" t="s">
        <v>16</v>
      </c>
      <c r="T43" s="19" t="s">
        <v>32</v>
      </c>
      <c r="U43" s="19" t="s">
        <v>16</v>
      </c>
      <c r="V43" s="21" t="str">
        <f t="shared" si="179"/>
        <v>N/A</v>
      </c>
    </row>
    <row r="44">
      <c r="A44">
        <v>295</v>
      </c>
      <c r="B44" s="8" t="s">
        <v>105</v>
      </c>
      <c r="C44">
        <v>0</v>
      </c>
      <c r="D44" s="19" t="s">
        <v>16</v>
      </c>
      <c r="E44" s="2" t="s">
        <v>32</v>
      </c>
      <c r="F44" s="19" t="s">
        <v>16</v>
      </c>
      <c r="G44" s="21" t="str">
        <f t="shared" si="175"/>
        <v>N/A</v>
      </c>
      <c r="H44" s="12">
        <f t="shared" si="176"/>
        <v>0</v>
      </c>
      <c r="I44" s="19" t="s">
        <v>16</v>
      </c>
      <c r="J44" s="19" t="s">
        <v>32</v>
      </c>
      <c r="K44" s="19" t="s">
        <v>16</v>
      </c>
      <c r="L44" s="21" t="str">
        <f t="shared" si="177"/>
        <v>N/A</v>
      </c>
      <c r="M44" s="1">
        <v>0</v>
      </c>
      <c r="N44" s="19" t="s">
        <v>16</v>
      </c>
      <c r="O44" s="19" t="s">
        <v>32</v>
      </c>
      <c r="P44" s="19" t="s">
        <v>16</v>
      </c>
      <c r="Q44" s="21" t="str">
        <f t="shared" si="178"/>
        <v>N/A</v>
      </c>
      <c r="R44" s="1">
        <v>0</v>
      </c>
      <c r="S44" s="19" t="s">
        <v>16</v>
      </c>
      <c r="T44" s="19" t="s">
        <v>32</v>
      </c>
      <c r="U44" s="19" t="s">
        <v>16</v>
      </c>
      <c r="V44" s="21" t="str">
        <f t="shared" si="179"/>
        <v>N/A</v>
      </c>
    </row>
    <row r="45" ht="72.599999999999994">
      <c r="A45">
        <v>298</v>
      </c>
      <c r="B45" s="8" t="s">
        <v>106</v>
      </c>
      <c r="C45">
        <v>0</v>
      </c>
      <c r="D45" s="19" t="s">
        <v>16</v>
      </c>
      <c r="E45" s="2" t="s">
        <v>32</v>
      </c>
      <c r="F45" s="19" t="s">
        <v>16</v>
      </c>
      <c r="G45" s="21" t="str">
        <f t="shared" si="175"/>
        <v>N/A</v>
      </c>
      <c r="H45" s="12">
        <f t="shared" si="176"/>
        <v>0</v>
      </c>
      <c r="I45" s="19" t="s">
        <v>484</v>
      </c>
      <c r="J45" s="19" t="s">
        <v>485</v>
      </c>
      <c r="K45" s="19" t="s">
        <v>16</v>
      </c>
      <c r="L45" s="21" t="str">
        <f t="shared" si="177"/>
        <v xml:space="preserve">muchas dudas sobre el transporte, el comedor o las ratios "dudas" sobre el transporte, el comedor o las ratios"</v>
      </c>
      <c r="M45" s="1">
        <v>0</v>
      </c>
      <c r="N45" s="19" t="s">
        <v>16</v>
      </c>
      <c r="O45" s="19" t="s">
        <v>32</v>
      </c>
      <c r="P45" s="19" t="s">
        <v>16</v>
      </c>
      <c r="Q45" s="21" t="str">
        <f t="shared" si="178"/>
        <v>N/A</v>
      </c>
      <c r="R45" s="1">
        <v>1</v>
      </c>
      <c r="S45" s="19" t="s">
        <v>16</v>
      </c>
      <c r="T45" s="19" t="s">
        <v>486</v>
      </c>
      <c r="U45" s="19" t="s">
        <v>487</v>
      </c>
      <c r="V45" s="21" t="str">
        <f t="shared" si="179"/>
        <v xml:space="preserve">"quedan "muchas dudas"" quedan \muchas dudas\" sobre el transporte, el comedor o las ratios"</v>
      </c>
    </row>
    <row r="46">
      <c r="A46">
        <v>319</v>
      </c>
      <c r="B46" s="8" t="s">
        <v>108</v>
      </c>
      <c r="C46" s="12">
        <v>0</v>
      </c>
      <c r="D46" s="19" t="s">
        <v>16</v>
      </c>
      <c r="E46" s="2" t="s">
        <v>32</v>
      </c>
      <c r="F46" s="19" t="s">
        <v>16</v>
      </c>
      <c r="G46" s="21" t="str">
        <f t="shared" si="175"/>
        <v>N/A</v>
      </c>
      <c r="H46" s="12">
        <f t="shared" si="176"/>
        <v>0</v>
      </c>
      <c r="I46" s="19" t="s">
        <v>16</v>
      </c>
      <c r="J46" s="19" t="s">
        <v>32</v>
      </c>
      <c r="K46" s="19" t="s">
        <v>16</v>
      </c>
      <c r="L46" s="21" t="str">
        <f t="shared" si="177"/>
        <v>N/A</v>
      </c>
      <c r="M46" s="21">
        <v>0</v>
      </c>
      <c r="N46" s="19" t="s">
        <v>16</v>
      </c>
      <c r="O46" s="19" t="s">
        <v>32</v>
      </c>
      <c r="P46" s="19" t="s">
        <v>16</v>
      </c>
      <c r="Q46" s="21" t="str">
        <f t="shared" si="178"/>
        <v>N/A</v>
      </c>
      <c r="R46" s="21">
        <v>0</v>
      </c>
      <c r="S46" s="19" t="s">
        <v>16</v>
      </c>
      <c r="T46" s="19" t="s">
        <v>32</v>
      </c>
      <c r="U46" s="19" t="s">
        <v>16</v>
      </c>
      <c r="V46" s="21" t="str">
        <f t="shared" si="179"/>
        <v>N/A</v>
      </c>
    </row>
    <row r="47">
      <c r="A47">
        <v>323</v>
      </c>
      <c r="B47" s="8" t="s">
        <v>109</v>
      </c>
      <c r="C47">
        <v>0</v>
      </c>
      <c r="D47" s="19" t="s">
        <v>16</v>
      </c>
      <c r="E47" s="2" t="s">
        <v>32</v>
      </c>
      <c r="F47" s="19" t="s">
        <v>16</v>
      </c>
      <c r="G47" s="21" t="str">
        <f t="shared" si="175"/>
        <v>N/A</v>
      </c>
      <c r="H47" s="12">
        <f t="shared" si="176"/>
        <v>0</v>
      </c>
      <c r="I47" s="19" t="s">
        <v>16</v>
      </c>
      <c r="J47" s="19" t="s">
        <v>32</v>
      </c>
      <c r="K47" s="19" t="s">
        <v>16</v>
      </c>
      <c r="L47" s="21" t="str">
        <f t="shared" si="177"/>
        <v>N/A</v>
      </c>
      <c r="M47" s="1">
        <v>0</v>
      </c>
      <c r="N47" s="19" t="s">
        <v>16</v>
      </c>
      <c r="O47" s="19" t="s">
        <v>32</v>
      </c>
      <c r="P47" s="19" t="s">
        <v>16</v>
      </c>
      <c r="Q47" s="21" t="str">
        <f t="shared" si="178"/>
        <v>N/A</v>
      </c>
      <c r="R47" s="1">
        <v>0</v>
      </c>
      <c r="S47" s="19" t="s">
        <v>16</v>
      </c>
      <c r="T47" s="19" t="s">
        <v>488</v>
      </c>
      <c r="U47" s="19" t="s">
        <v>16</v>
      </c>
      <c r="V47" s="21" t="str">
        <f t="shared" si="179"/>
        <v xml:space="preserve">"alertas de la AEMET"</v>
      </c>
    </row>
    <row r="48">
      <c r="A48">
        <v>325</v>
      </c>
      <c r="B48" s="8" t="s">
        <v>111</v>
      </c>
      <c r="C48">
        <v>0</v>
      </c>
      <c r="D48" s="19" t="s">
        <v>16</v>
      </c>
      <c r="E48" s="2" t="s">
        <v>32</v>
      </c>
      <c r="F48" s="19" t="s">
        <v>16</v>
      </c>
      <c r="G48" s="21" t="str">
        <f t="shared" si="175"/>
        <v>N/A</v>
      </c>
      <c r="H48" s="12">
        <f t="shared" si="176"/>
        <v>0</v>
      </c>
      <c r="I48" s="19" t="s">
        <v>16</v>
      </c>
      <c r="J48" s="19" t="s">
        <v>32</v>
      </c>
      <c r="K48" s="19" t="s">
        <v>16</v>
      </c>
      <c r="L48" s="21" t="str">
        <f t="shared" si="177"/>
        <v>N/A</v>
      </c>
      <c r="M48" s="1">
        <v>0</v>
      </c>
      <c r="N48" s="19" t="s">
        <v>16</v>
      </c>
      <c r="O48" s="19" t="s">
        <v>32</v>
      </c>
      <c r="P48" s="19" t="s">
        <v>16</v>
      </c>
      <c r="Q48" s="21" t="str">
        <f t="shared" si="178"/>
        <v>N/A</v>
      </c>
      <c r="R48" s="1">
        <v>0</v>
      </c>
      <c r="S48" s="19" t="s">
        <v>16</v>
      </c>
      <c r="T48" s="19" t="s">
        <v>489</v>
      </c>
      <c r="U48" s="19" t="s">
        <v>16</v>
      </c>
      <c r="V48" s="21" t="str">
        <f t="shared" si="179"/>
        <v xml:space="preserve">"cuando el agua se ha ido"</v>
      </c>
    </row>
    <row r="49" ht="29.100000000000001">
      <c r="A49">
        <v>337</v>
      </c>
      <c r="B49" s="8" t="s">
        <v>112</v>
      </c>
      <c r="C49">
        <v>1</v>
      </c>
      <c r="D49" s="19" t="s">
        <v>16</v>
      </c>
      <c r="E49" s="2" t="s">
        <v>113</v>
      </c>
      <c r="F49" s="19" t="s">
        <v>93</v>
      </c>
      <c r="G49" s="21" t="str">
        <f t="shared" si="175"/>
        <v xml:space="preserve">"zona cero" zona cero</v>
      </c>
      <c r="H49" s="12">
        <f t="shared" si="176"/>
        <v>0</v>
      </c>
      <c r="I49" s="19" t="s">
        <v>16</v>
      </c>
      <c r="J49" s="19" t="s">
        <v>32</v>
      </c>
      <c r="K49" s="19" t="s">
        <v>16</v>
      </c>
      <c r="L49" s="21" t="str">
        <f t="shared" si="177"/>
        <v>N/A</v>
      </c>
      <c r="M49" s="1">
        <v>1</v>
      </c>
      <c r="N49" s="19" t="s">
        <v>490</v>
      </c>
      <c r="O49" s="19" t="s">
        <v>32</v>
      </c>
      <c r="P49" s="19" t="s">
        <v>490</v>
      </c>
      <c r="Q49" s="21" t="str">
        <f t="shared" si="178"/>
        <v xml:space="preserve">No sabemos si podremos volver a nuestra casa N/A</v>
      </c>
      <c r="R49" s="1">
        <v>0</v>
      </c>
      <c r="S49" s="19" t="s">
        <v>16</v>
      </c>
      <c r="T49" s="19" t="s">
        <v>491</v>
      </c>
      <c r="U49" s="19" t="s">
        <v>16</v>
      </c>
      <c r="V49" s="21" t="str">
        <f t="shared" si="179"/>
        <v xml:space="preserve">"No sabemos si podremos volver a nuestra casa"</v>
      </c>
    </row>
    <row r="50" ht="29.100000000000001">
      <c r="A50">
        <v>343</v>
      </c>
      <c r="B50" s="8" t="s">
        <v>114</v>
      </c>
      <c r="C50">
        <v>0</v>
      </c>
      <c r="D50" s="19" t="s">
        <v>16</v>
      </c>
      <c r="E50" s="2" t="s">
        <v>492</v>
      </c>
      <c r="F50" s="19" t="s">
        <v>16</v>
      </c>
      <c r="G50" s="21" t="str">
        <f t="shared" si="175"/>
        <v>"devastador"</v>
      </c>
      <c r="H50" s="12">
        <f t="shared" si="176"/>
        <v>0</v>
      </c>
      <c r="I50" s="19" t="s">
        <v>16</v>
      </c>
      <c r="J50" s="19" t="s">
        <v>32</v>
      </c>
      <c r="K50" s="19" t="s">
        <v>16</v>
      </c>
      <c r="L50" s="21" t="str">
        <f t="shared" si="177"/>
        <v>N/A</v>
      </c>
      <c r="M50" s="1">
        <v>0</v>
      </c>
      <c r="N50" s="19" t="s">
        <v>16</v>
      </c>
      <c r="O50" s="19" t="s">
        <v>32</v>
      </c>
      <c r="P50" s="19" t="s">
        <v>16</v>
      </c>
      <c r="Q50" s="21" t="str">
        <f t="shared" si="178"/>
        <v>N/A</v>
      </c>
      <c r="R50" s="1">
        <v>0</v>
      </c>
      <c r="S50" s="19" t="s">
        <v>16</v>
      </c>
      <c r="T50" s="19" t="s">
        <v>32</v>
      </c>
      <c r="U50" s="19" t="s">
        <v>16</v>
      </c>
      <c r="V50" s="21" t="str">
        <f t="shared" si="179"/>
        <v>N/A</v>
      </c>
    </row>
    <row r="51" ht="43.5">
      <c r="A51">
        <v>352</v>
      </c>
      <c r="B51" s="8" t="s">
        <v>118</v>
      </c>
      <c r="C51">
        <v>0</v>
      </c>
      <c r="D51" s="19" t="s">
        <v>16</v>
      </c>
      <c r="E51" s="2" t="s">
        <v>32</v>
      </c>
      <c r="F51" s="19" t="s">
        <v>16</v>
      </c>
      <c r="G51" s="21" t="str">
        <f t="shared" si="175"/>
        <v>N/A</v>
      </c>
      <c r="H51" s="12">
        <f t="shared" si="176"/>
        <v>0</v>
      </c>
      <c r="I51" s="19" t="s">
        <v>493</v>
      </c>
      <c r="J51" s="19" t="s">
        <v>494</v>
      </c>
      <c r="K51" s="19" t="s">
        <v>16</v>
      </c>
      <c r="L51" s="21" t="str">
        <f t="shared" si="177"/>
        <v xml:space="preserve">Cargas policiales "quema la puerta del Ayuntamiento"</v>
      </c>
      <c r="M51" s="1">
        <v>0</v>
      </c>
      <c r="N51" s="19" t="s">
        <v>16</v>
      </c>
      <c r="O51" s="19" t="s">
        <v>32</v>
      </c>
      <c r="P51" s="19" t="s">
        <v>16</v>
      </c>
      <c r="Q51" s="21" t="str">
        <f t="shared" si="178"/>
        <v>N/A</v>
      </c>
      <c r="R51" s="1">
        <v>0</v>
      </c>
      <c r="S51" s="19" t="s">
        <v>16</v>
      </c>
      <c r="T51" s="19" t="s">
        <v>32</v>
      </c>
      <c r="U51" s="19" t="s">
        <v>16</v>
      </c>
      <c r="V51" s="21" t="str">
        <f t="shared" si="179"/>
        <v>N/A</v>
      </c>
    </row>
    <row r="52">
      <c r="A52">
        <v>358</v>
      </c>
      <c r="B52" s="1" t="s">
        <v>120</v>
      </c>
      <c r="C52">
        <v>0</v>
      </c>
      <c r="D52" s="19" t="s">
        <v>16</v>
      </c>
      <c r="E52" s="2" t="s">
        <v>32</v>
      </c>
      <c r="F52" s="19" t="s">
        <v>16</v>
      </c>
      <c r="G52" s="21" t="str">
        <f t="shared" si="175"/>
        <v>N/A</v>
      </c>
      <c r="H52" s="12">
        <f t="shared" si="176"/>
        <v>0</v>
      </c>
      <c r="I52" s="19" t="s">
        <v>16</v>
      </c>
      <c r="J52" s="19" t="s">
        <v>32</v>
      </c>
      <c r="K52" s="19" t="s">
        <v>16</v>
      </c>
      <c r="L52" s="21" t="str">
        <f t="shared" si="177"/>
        <v>N/A</v>
      </c>
      <c r="M52" s="1">
        <v>0</v>
      </c>
      <c r="N52" s="19" t="s">
        <v>16</v>
      </c>
      <c r="O52" s="19" t="s">
        <v>32</v>
      </c>
      <c r="P52" s="19" t="s">
        <v>16</v>
      </c>
      <c r="Q52" s="21" t="str">
        <f t="shared" si="178"/>
        <v>N/A</v>
      </c>
      <c r="R52" s="1">
        <v>0</v>
      </c>
      <c r="S52" s="19" t="s">
        <v>16</v>
      </c>
      <c r="T52" s="19" t="s">
        <v>32</v>
      </c>
      <c r="U52" s="19" t="s">
        <v>16</v>
      </c>
      <c r="V52" s="21" t="str">
        <f t="shared" si="179"/>
        <v>N/A</v>
      </c>
    </row>
    <row r="53">
      <c r="A53">
        <v>359</v>
      </c>
      <c r="B53" s="1" t="s">
        <v>121</v>
      </c>
      <c r="C53" s="12">
        <v>0</v>
      </c>
      <c r="D53" s="19" t="s">
        <v>16</v>
      </c>
      <c r="E53" s="2" t="s">
        <v>32</v>
      </c>
      <c r="F53" s="19" t="s">
        <v>16</v>
      </c>
      <c r="G53" s="21" t="str">
        <f t="shared" si="175"/>
        <v>N/A</v>
      </c>
      <c r="H53" s="12">
        <f t="shared" si="176"/>
        <v>0</v>
      </c>
      <c r="I53" s="19" t="s">
        <v>16</v>
      </c>
      <c r="J53" s="19" t="s">
        <v>32</v>
      </c>
      <c r="K53" s="19" t="s">
        <v>16</v>
      </c>
      <c r="L53" s="21" t="str">
        <f t="shared" si="177"/>
        <v>N/A</v>
      </c>
      <c r="M53" s="21">
        <v>0</v>
      </c>
      <c r="N53" s="19" t="s">
        <v>16</v>
      </c>
      <c r="O53" s="19" t="s">
        <v>32</v>
      </c>
      <c r="P53" s="19" t="s">
        <v>16</v>
      </c>
      <c r="Q53" s="21" t="str">
        <f t="shared" si="178"/>
        <v>N/A</v>
      </c>
      <c r="R53" s="21">
        <v>0</v>
      </c>
      <c r="S53" s="19" t="s">
        <v>16</v>
      </c>
      <c r="T53" s="19" t="s">
        <v>32</v>
      </c>
      <c r="U53" s="19" t="s">
        <v>16</v>
      </c>
      <c r="V53" s="21" t="str">
        <f t="shared" si="179"/>
        <v>N/A</v>
      </c>
    </row>
    <row r="54">
      <c r="A54">
        <v>363</v>
      </c>
      <c r="B54" s="1" t="s">
        <v>122</v>
      </c>
      <c r="C54" s="12">
        <v>0</v>
      </c>
      <c r="D54" s="19" t="s">
        <v>16</v>
      </c>
      <c r="E54" s="2" t="s">
        <v>32</v>
      </c>
      <c r="F54" s="19" t="s">
        <v>16</v>
      </c>
      <c r="G54" s="21" t="str">
        <f t="shared" si="175"/>
        <v>N/A</v>
      </c>
      <c r="H54" s="12">
        <f t="shared" si="176"/>
        <v>0</v>
      </c>
      <c r="I54" s="19" t="s">
        <v>16</v>
      </c>
      <c r="J54" s="19" t="s">
        <v>32</v>
      </c>
      <c r="K54" s="19" t="s">
        <v>16</v>
      </c>
      <c r="L54" s="21" t="str">
        <f t="shared" si="177"/>
        <v>N/A</v>
      </c>
      <c r="M54" s="21">
        <v>0</v>
      </c>
      <c r="N54" s="19" t="s">
        <v>16</v>
      </c>
      <c r="O54" s="19" t="s">
        <v>32</v>
      </c>
      <c r="P54" s="19" t="s">
        <v>16</v>
      </c>
      <c r="Q54" s="21" t="str">
        <f t="shared" si="178"/>
        <v>N/A</v>
      </c>
      <c r="R54" s="21">
        <v>0</v>
      </c>
      <c r="S54" s="19" t="s">
        <v>16</v>
      </c>
      <c r="T54" s="19" t="s">
        <v>32</v>
      </c>
      <c r="U54" s="19" t="s">
        <v>16</v>
      </c>
      <c r="V54" s="21" t="str">
        <f t="shared" si="179"/>
        <v>N/A</v>
      </c>
    </row>
    <row r="55" ht="57.950000000000003">
      <c r="A55">
        <v>373</v>
      </c>
      <c r="B55" s="1" t="s">
        <v>123</v>
      </c>
      <c r="C55" s="12">
        <v>0</v>
      </c>
      <c r="D55" s="19" t="s">
        <v>16</v>
      </c>
      <c r="E55" s="2" t="s">
        <v>32</v>
      </c>
      <c r="F55" s="19" t="s">
        <v>495</v>
      </c>
      <c r="G55" s="21" t="str">
        <f t="shared" si="175"/>
        <v xml:space="preserve">N/A La DANA tiñe de blanco algunos municipios de la provincia</v>
      </c>
      <c r="H55" s="12">
        <f t="shared" si="176"/>
        <v>0</v>
      </c>
      <c r="I55" s="19" t="s">
        <v>16</v>
      </c>
      <c r="J55" s="19" t="s">
        <v>32</v>
      </c>
      <c r="K55" s="19" t="s">
        <v>16</v>
      </c>
      <c r="L55" s="21" t="str">
        <f t="shared" si="177"/>
        <v>N/A</v>
      </c>
      <c r="M55" s="21">
        <v>0</v>
      </c>
      <c r="N55" s="19" t="s">
        <v>16</v>
      </c>
      <c r="O55" s="19" t="s">
        <v>32</v>
      </c>
      <c r="P55" s="19" t="s">
        <v>16</v>
      </c>
      <c r="Q55" s="21" t="str">
        <f t="shared" si="178"/>
        <v>N/A</v>
      </c>
      <c r="R55" s="21">
        <v>0</v>
      </c>
      <c r="S55" s="19" t="s">
        <v>16</v>
      </c>
      <c r="T55" s="19" t="s">
        <v>32</v>
      </c>
      <c r="U55" s="19" t="s">
        <v>16</v>
      </c>
      <c r="V55" s="21" t="str">
        <f t="shared" si="179"/>
        <v>N/A</v>
      </c>
    </row>
    <row r="56">
      <c r="A56">
        <v>387</v>
      </c>
      <c r="B56" s="1" t="s">
        <v>124</v>
      </c>
      <c r="C56" s="12">
        <v>0</v>
      </c>
      <c r="D56" s="19" t="s">
        <v>16</v>
      </c>
      <c r="E56" s="2" t="s">
        <v>32</v>
      </c>
      <c r="F56" s="19" t="s">
        <v>16</v>
      </c>
      <c r="G56" s="21" t="str">
        <f t="shared" si="175"/>
        <v>N/A</v>
      </c>
      <c r="H56" s="12">
        <f t="shared" si="176"/>
        <v>0</v>
      </c>
      <c r="I56" s="19" t="s">
        <v>16</v>
      </c>
      <c r="J56" s="19" t="s">
        <v>32</v>
      </c>
      <c r="K56" s="19" t="s">
        <v>16</v>
      </c>
      <c r="L56" s="21" t="str">
        <f t="shared" si="177"/>
        <v>N/A</v>
      </c>
      <c r="M56" s="21">
        <v>0</v>
      </c>
      <c r="N56" s="19" t="s">
        <v>16</v>
      </c>
      <c r="O56" s="19" t="s">
        <v>32</v>
      </c>
      <c r="P56" s="19" t="s">
        <v>16</v>
      </c>
      <c r="Q56" s="21" t="str">
        <f t="shared" si="178"/>
        <v>N/A</v>
      </c>
      <c r="R56" s="21">
        <v>0</v>
      </c>
      <c r="S56" s="19" t="s">
        <v>16</v>
      </c>
      <c r="T56" s="19" t="s">
        <v>32</v>
      </c>
      <c r="U56" s="19" t="s">
        <v>16</v>
      </c>
      <c r="V56" s="21" t="str">
        <f t="shared" si="179"/>
        <v>N/A</v>
      </c>
    </row>
    <row r="57">
      <c r="A57">
        <v>399</v>
      </c>
      <c r="B57" s="1" t="s">
        <v>125</v>
      </c>
      <c r="C57" s="12">
        <v>0</v>
      </c>
      <c r="D57" s="19" t="s">
        <v>16</v>
      </c>
      <c r="E57" s="2" t="s">
        <v>32</v>
      </c>
      <c r="F57" s="19" t="s">
        <v>16</v>
      </c>
      <c r="G57" s="21" t="str">
        <f t="shared" si="175"/>
        <v>N/A</v>
      </c>
      <c r="H57" s="12">
        <f t="shared" si="176"/>
        <v>0</v>
      </c>
      <c r="I57" s="19" t="s">
        <v>16</v>
      </c>
      <c r="J57" s="19" t="s">
        <v>32</v>
      </c>
      <c r="K57" s="19" t="s">
        <v>16</v>
      </c>
      <c r="L57" s="21" t="str">
        <f t="shared" si="177"/>
        <v>N/A</v>
      </c>
      <c r="M57" s="22">
        <v>0</v>
      </c>
      <c r="N57" s="19" t="s">
        <v>16</v>
      </c>
      <c r="O57" s="19" t="s">
        <v>32</v>
      </c>
      <c r="P57" s="19" t="s">
        <v>16</v>
      </c>
      <c r="Q57" s="21" t="str">
        <f t="shared" si="178"/>
        <v>N/A</v>
      </c>
      <c r="R57" s="21">
        <v>0</v>
      </c>
      <c r="S57" s="19" t="s">
        <v>16</v>
      </c>
      <c r="T57" s="19" t="s">
        <v>32</v>
      </c>
      <c r="U57" s="19" t="s">
        <v>16</v>
      </c>
      <c r="V57" s="21" t="str">
        <f t="shared" si="179"/>
        <v>N/A</v>
      </c>
    </row>
    <row r="58">
      <c r="A58">
        <v>400</v>
      </c>
      <c r="B58" s="1" t="s">
        <v>126</v>
      </c>
      <c r="C58" s="12">
        <v>0</v>
      </c>
      <c r="D58" s="19" t="s">
        <v>16</v>
      </c>
      <c r="E58" s="2" t="s">
        <v>32</v>
      </c>
      <c r="F58" s="19" t="s">
        <v>16</v>
      </c>
      <c r="G58" s="21" t="str">
        <f t="shared" si="175"/>
        <v>N/A</v>
      </c>
      <c r="H58" s="12">
        <f t="shared" si="176"/>
        <v>0</v>
      </c>
      <c r="I58" s="19" t="s">
        <v>16</v>
      </c>
      <c r="J58" s="19" t="s">
        <v>32</v>
      </c>
      <c r="K58" s="19" t="s">
        <v>16</v>
      </c>
      <c r="L58" s="21" t="str">
        <f t="shared" si="177"/>
        <v>N/A</v>
      </c>
      <c r="M58" s="21">
        <v>0</v>
      </c>
      <c r="N58" s="19" t="s">
        <v>16</v>
      </c>
      <c r="O58" s="19" t="s">
        <v>32</v>
      </c>
      <c r="P58" s="19" t="s">
        <v>16</v>
      </c>
      <c r="Q58" s="21" t="str">
        <f t="shared" si="178"/>
        <v>N/A</v>
      </c>
      <c r="R58" s="21">
        <v>0</v>
      </c>
      <c r="S58" s="19" t="s">
        <v>16</v>
      </c>
      <c r="T58" s="19" t="s">
        <v>32</v>
      </c>
      <c r="U58" s="19" t="s">
        <v>16</v>
      </c>
      <c r="V58" s="21" t="str">
        <f t="shared" si="179"/>
        <v>N/A</v>
      </c>
    </row>
    <row r="59" ht="87">
      <c r="A59">
        <v>407</v>
      </c>
      <c r="B59" s="1" t="s">
        <v>127</v>
      </c>
      <c r="C59" s="12">
        <v>1</v>
      </c>
      <c r="D59" s="19" t="s">
        <v>128</v>
      </c>
      <c r="E59" s="2" t="s">
        <v>129</v>
      </c>
      <c r="F59" s="19" t="s">
        <v>496</v>
      </c>
      <c r="G59" s="21" t="str">
        <f t="shared" si="175"/>
        <v xml:space="preserve">ha cambiado la historia de Valencia "ha cambiado la historia" una semana que ha cambiado la historia de Valencia</v>
      </c>
      <c r="H59" s="12">
        <f t="shared" si="176"/>
        <v>0</v>
      </c>
      <c r="I59" s="19" t="s">
        <v>16</v>
      </c>
      <c r="J59" s="19" t="s">
        <v>32</v>
      </c>
      <c r="K59" s="19" t="s">
        <v>16</v>
      </c>
      <c r="L59" s="21" t="str">
        <f t="shared" si="177"/>
        <v>N/A</v>
      </c>
      <c r="M59" s="21">
        <v>0</v>
      </c>
      <c r="N59" s="19" t="s">
        <v>16</v>
      </c>
      <c r="O59" s="19" t="s">
        <v>32</v>
      </c>
      <c r="P59" s="19" t="s">
        <v>16</v>
      </c>
      <c r="Q59" s="21" t="str">
        <f t="shared" si="178"/>
        <v>N/A</v>
      </c>
      <c r="R59" s="21">
        <v>0</v>
      </c>
      <c r="S59" s="19" t="s">
        <v>16</v>
      </c>
      <c r="T59" s="19" t="s">
        <v>32</v>
      </c>
      <c r="U59" s="19" t="s">
        <v>16</v>
      </c>
      <c r="V59" s="21" t="str">
        <f t="shared" si="179"/>
        <v>N/A</v>
      </c>
    </row>
    <row r="60">
      <c r="A60">
        <v>421</v>
      </c>
      <c r="B60" s="1" t="s">
        <v>130</v>
      </c>
      <c r="C60" s="12">
        <v>0</v>
      </c>
      <c r="D60" s="19" t="s">
        <v>16</v>
      </c>
      <c r="E60" s="2" t="s">
        <v>132</v>
      </c>
      <c r="F60" s="19" t="s">
        <v>16</v>
      </c>
      <c r="G60" s="21" t="str">
        <f t="shared" si="175"/>
        <v xml:space="preserve">"rescates dramáticos"</v>
      </c>
      <c r="H60" s="12">
        <f t="shared" si="176"/>
        <v>0</v>
      </c>
      <c r="I60" s="19" t="s">
        <v>16</v>
      </c>
      <c r="J60" s="19" t="s">
        <v>32</v>
      </c>
      <c r="K60" s="19" t="s">
        <v>16</v>
      </c>
      <c r="L60" s="21" t="str">
        <f t="shared" si="177"/>
        <v>N/A</v>
      </c>
      <c r="M60" s="21">
        <v>1</v>
      </c>
      <c r="N60" s="19" t="s">
        <v>131</v>
      </c>
      <c r="O60" s="19" t="s">
        <v>32</v>
      </c>
      <c r="P60" s="19" t="s">
        <v>131</v>
      </c>
      <c r="Q60" s="21" t="str">
        <f t="shared" si="178"/>
        <v xml:space="preserve">rescates dramáticos N/A</v>
      </c>
      <c r="R60" s="21">
        <v>0</v>
      </c>
      <c r="S60" s="19" t="s">
        <v>16</v>
      </c>
      <c r="T60" s="19" t="s">
        <v>32</v>
      </c>
      <c r="U60" s="19" t="s">
        <v>16</v>
      </c>
      <c r="V60" s="21" t="str">
        <f t="shared" si="179"/>
        <v>N/A</v>
      </c>
    </row>
    <row r="61" ht="29.100000000000001">
      <c r="A61">
        <v>425</v>
      </c>
      <c r="B61" s="1" t="s">
        <v>133</v>
      </c>
      <c r="C61" s="12">
        <v>0</v>
      </c>
      <c r="D61" s="19" t="s">
        <v>16</v>
      </c>
      <c r="E61" s="2" t="s">
        <v>32</v>
      </c>
      <c r="F61" s="19" t="s">
        <v>16</v>
      </c>
      <c r="G61" s="21" t="str">
        <f t="shared" si="175"/>
        <v>N/A</v>
      </c>
      <c r="H61" s="12">
        <f t="shared" si="176"/>
        <v>0</v>
      </c>
      <c r="I61" s="19" t="s">
        <v>497</v>
      </c>
      <c r="J61" s="19" t="s">
        <v>32</v>
      </c>
      <c r="K61" s="19" t="s">
        <v>16</v>
      </c>
      <c r="L61" s="21" t="str">
        <f t="shared" si="177"/>
        <v xml:space="preserve">centenares de atrapados N/A</v>
      </c>
      <c r="M61" s="21">
        <v>0</v>
      </c>
      <c r="N61" s="19" t="s">
        <v>16</v>
      </c>
      <c r="O61" s="19" t="s">
        <v>32</v>
      </c>
      <c r="P61" s="19" t="s">
        <v>497</v>
      </c>
      <c r="Q61" s="21" t="str">
        <f t="shared" si="178"/>
        <v xml:space="preserve">N/A centenares de atrapados</v>
      </c>
      <c r="R61" s="21">
        <v>0</v>
      </c>
      <c r="S61" s="19" t="s">
        <v>16</v>
      </c>
      <c r="T61" s="19" t="s">
        <v>32</v>
      </c>
      <c r="U61" s="19" t="s">
        <v>16</v>
      </c>
      <c r="V61" s="21" t="str">
        <f t="shared" si="179"/>
        <v>N/A</v>
      </c>
    </row>
    <row r="62">
      <c r="A62">
        <v>429</v>
      </c>
      <c r="B62" s="1" t="s">
        <v>135</v>
      </c>
      <c r="C62" s="12">
        <v>0</v>
      </c>
      <c r="D62" s="19" t="s">
        <v>16</v>
      </c>
      <c r="E62" s="2" t="s">
        <v>32</v>
      </c>
      <c r="F62" s="19" t="s">
        <v>16</v>
      </c>
      <c r="G62" s="21" t="str">
        <f t="shared" si="175"/>
        <v>N/A</v>
      </c>
      <c r="H62" s="12">
        <f t="shared" si="176"/>
        <v>0</v>
      </c>
      <c r="I62" s="19" t="s">
        <v>16</v>
      </c>
      <c r="J62" s="19" t="s">
        <v>32</v>
      </c>
      <c r="K62" s="19" t="s">
        <v>16</v>
      </c>
      <c r="L62" s="21" t="str">
        <f t="shared" si="177"/>
        <v>N/A</v>
      </c>
      <c r="M62" s="21">
        <v>0</v>
      </c>
      <c r="N62" s="19" t="s">
        <v>16</v>
      </c>
      <c r="O62" s="19" t="s">
        <v>32</v>
      </c>
      <c r="P62" s="19" t="s">
        <v>16</v>
      </c>
      <c r="Q62" s="21" t="str">
        <f t="shared" si="178"/>
        <v>N/A</v>
      </c>
      <c r="R62" s="21">
        <v>0</v>
      </c>
      <c r="S62" s="19" t="s">
        <v>16</v>
      </c>
      <c r="T62" s="19" t="s">
        <v>32</v>
      </c>
      <c r="U62" s="19" t="s">
        <v>16</v>
      </c>
      <c r="V62" s="21" t="str">
        <f t="shared" si="179"/>
        <v>N/A</v>
      </c>
    </row>
    <row r="63">
      <c r="A63">
        <v>438</v>
      </c>
      <c r="B63" s="1" t="s">
        <v>136</v>
      </c>
      <c r="C63" s="12">
        <v>0</v>
      </c>
      <c r="D63" s="19" t="s">
        <v>16</v>
      </c>
      <c r="E63" s="2" t="s">
        <v>32</v>
      </c>
      <c r="F63" s="19" t="s">
        <v>16</v>
      </c>
      <c r="G63" s="21" t="str">
        <f t="shared" si="175"/>
        <v>N/A</v>
      </c>
      <c r="H63" s="12">
        <f t="shared" si="176"/>
        <v>0</v>
      </c>
      <c r="I63" s="19" t="s">
        <v>16</v>
      </c>
      <c r="J63" s="19" t="s">
        <v>32</v>
      </c>
      <c r="K63" s="19" t="s">
        <v>16</v>
      </c>
      <c r="L63" s="21" t="str">
        <f t="shared" si="177"/>
        <v>N/A</v>
      </c>
      <c r="M63" s="21">
        <v>0</v>
      </c>
      <c r="N63" s="19" t="s">
        <v>16</v>
      </c>
      <c r="O63" s="19" t="s">
        <v>32</v>
      </c>
      <c r="P63" s="19" t="s">
        <v>16</v>
      </c>
      <c r="Q63" s="21" t="str">
        <f t="shared" si="178"/>
        <v>N/A</v>
      </c>
      <c r="R63" s="21">
        <v>0</v>
      </c>
      <c r="S63" s="19" t="s">
        <v>16</v>
      </c>
      <c r="T63" s="19" t="s">
        <v>32</v>
      </c>
      <c r="U63" s="19" t="s">
        <v>16</v>
      </c>
      <c r="V63" s="21" t="str">
        <f t="shared" si="179"/>
        <v>N/A</v>
      </c>
    </row>
    <row r="64" ht="29.100000000000001">
      <c r="A64">
        <v>439</v>
      </c>
      <c r="B64" s="1" t="s">
        <v>137</v>
      </c>
      <c r="C64" s="12">
        <v>1</v>
      </c>
      <c r="D64" s="19" t="s">
        <v>16</v>
      </c>
      <c r="E64" s="2" t="s">
        <v>139</v>
      </c>
      <c r="F64" s="19" t="s">
        <v>138</v>
      </c>
      <c r="G64" s="21" t="str">
        <f t="shared" si="175"/>
        <v xml:space="preserve">"Esto es una locura" Esto es una locura</v>
      </c>
      <c r="H64" s="12">
        <f t="shared" si="176"/>
        <v>0</v>
      </c>
      <c r="I64" s="19" t="s">
        <v>16</v>
      </c>
      <c r="J64" s="19" t="s">
        <v>32</v>
      </c>
      <c r="K64" s="19" t="s">
        <v>16</v>
      </c>
      <c r="L64" s="21" t="str">
        <f t="shared" si="177"/>
        <v>N/A</v>
      </c>
      <c r="M64" s="21">
        <v>0</v>
      </c>
      <c r="N64" s="19" t="s">
        <v>16</v>
      </c>
      <c r="O64" s="19" t="s">
        <v>32</v>
      </c>
      <c r="P64" s="19" t="s">
        <v>16</v>
      </c>
      <c r="Q64" s="21" t="str">
        <f t="shared" si="178"/>
        <v>N/A</v>
      </c>
      <c r="R64" s="21">
        <v>0</v>
      </c>
      <c r="S64" s="19" t="s">
        <v>16</v>
      </c>
      <c r="T64" s="19" t="s">
        <v>32</v>
      </c>
      <c r="U64" s="19" t="s">
        <v>16</v>
      </c>
      <c r="V64" s="21" t="str">
        <f t="shared" si="179"/>
        <v>N/A</v>
      </c>
    </row>
    <row r="65" ht="57.950000000000003">
      <c r="A65">
        <v>446</v>
      </c>
      <c r="B65" s="1" t="s">
        <v>140</v>
      </c>
      <c r="C65" s="12">
        <v>1</v>
      </c>
      <c r="D65" s="19" t="s">
        <v>140</v>
      </c>
      <c r="E65" s="2" t="s">
        <v>141</v>
      </c>
      <c r="F65" s="19" t="s">
        <v>16</v>
      </c>
      <c r="G65" s="21" t="str">
        <f t="shared" si="175"/>
        <v xml:space="preserve">La catástrofe que cambió el rumbo de la ciudad "catástrofe que cambió el rumbo"</v>
      </c>
      <c r="H65" s="12">
        <f t="shared" si="176"/>
        <v>0</v>
      </c>
      <c r="I65" s="19" t="s">
        <v>16</v>
      </c>
      <c r="J65" s="19" t="s">
        <v>32</v>
      </c>
      <c r="K65" s="19" t="s">
        <v>16</v>
      </c>
      <c r="L65" s="21" t="str">
        <f t="shared" si="177"/>
        <v>N/A</v>
      </c>
      <c r="M65" s="21">
        <v>0</v>
      </c>
      <c r="N65" s="19" t="s">
        <v>16</v>
      </c>
      <c r="O65" s="19" t="s">
        <v>32</v>
      </c>
      <c r="P65" s="19" t="s">
        <v>16</v>
      </c>
      <c r="Q65" s="21" t="str">
        <f t="shared" si="178"/>
        <v>N/A</v>
      </c>
      <c r="R65" s="21">
        <v>0</v>
      </c>
      <c r="S65" s="19" t="s">
        <v>16</v>
      </c>
      <c r="T65" s="19" t="s">
        <v>32</v>
      </c>
      <c r="U65" s="19" t="s">
        <v>16</v>
      </c>
      <c r="V65" s="21" t="str">
        <f t="shared" si="179"/>
        <v>N/A</v>
      </c>
    </row>
    <row r="66">
      <c r="A66">
        <v>449</v>
      </c>
      <c r="B66" s="1" t="s">
        <v>135</v>
      </c>
      <c r="C66" s="12">
        <v>0</v>
      </c>
      <c r="D66" s="19" t="s">
        <v>16</v>
      </c>
      <c r="E66" s="2" t="s">
        <v>32</v>
      </c>
      <c r="F66" s="19" t="s">
        <v>16</v>
      </c>
      <c r="G66" s="21" t="str">
        <f t="shared" si="175"/>
        <v>N/A</v>
      </c>
      <c r="H66" s="12">
        <f t="shared" si="176"/>
        <v>0</v>
      </c>
      <c r="I66" s="19" t="s">
        <v>16</v>
      </c>
      <c r="J66" s="19" t="s">
        <v>32</v>
      </c>
      <c r="K66" s="19" t="s">
        <v>16</v>
      </c>
      <c r="L66" s="21" t="str">
        <f t="shared" si="177"/>
        <v>N/A</v>
      </c>
      <c r="M66" s="21">
        <v>0</v>
      </c>
      <c r="N66" s="19" t="s">
        <v>16</v>
      </c>
      <c r="O66" s="19" t="s">
        <v>32</v>
      </c>
      <c r="P66" s="19" t="s">
        <v>16</v>
      </c>
      <c r="Q66" s="21" t="str">
        <f t="shared" si="178"/>
        <v>N/A</v>
      </c>
      <c r="R66" s="21">
        <v>0</v>
      </c>
      <c r="S66" s="19" t="s">
        <v>16</v>
      </c>
      <c r="T66" s="19" t="s">
        <v>32</v>
      </c>
      <c r="U66" s="19" t="s">
        <v>16</v>
      </c>
      <c r="V66" s="21" t="str">
        <f t="shared" si="179"/>
        <v>N/A</v>
      </c>
    </row>
    <row r="67" ht="29.100000000000001">
      <c r="A67">
        <v>452</v>
      </c>
      <c r="B67" s="1" t="s">
        <v>142</v>
      </c>
      <c r="C67" s="12">
        <v>1</v>
      </c>
      <c r="D67" s="19" t="s">
        <v>145</v>
      </c>
      <c r="E67" s="2" t="s">
        <v>498</v>
      </c>
      <c r="F67" s="19" t="s">
        <v>16</v>
      </c>
      <c r="G67" s="21" t="str">
        <f t="shared" si="175"/>
        <v xml:space="preserve">devastación absoluta "devastación absoluta"</v>
      </c>
      <c r="H67" s="12">
        <f t="shared" si="176"/>
        <v>0</v>
      </c>
      <c r="I67" s="19" t="s">
        <v>143</v>
      </c>
      <c r="J67" s="19" t="s">
        <v>499</v>
      </c>
      <c r="K67" s="19" t="s">
        <v>143</v>
      </c>
      <c r="L67" s="21" t="str">
        <f t="shared" si="177"/>
        <v xml:space="preserve">Caos "Caos"</v>
      </c>
      <c r="M67" s="22">
        <v>0</v>
      </c>
      <c r="N67" s="19" t="s">
        <v>16</v>
      </c>
      <c r="O67" s="19" t="s">
        <v>32</v>
      </c>
      <c r="P67" s="19" t="s">
        <v>16</v>
      </c>
      <c r="Q67" s="21" t="str">
        <f t="shared" si="178"/>
        <v>N/A</v>
      </c>
      <c r="R67" s="21">
        <v>0</v>
      </c>
      <c r="S67" s="19" t="s">
        <v>16</v>
      </c>
      <c r="T67" s="19" t="s">
        <v>32</v>
      </c>
      <c r="U67" s="19" t="s">
        <v>16</v>
      </c>
      <c r="V67" s="21" t="str">
        <f t="shared" si="179"/>
        <v>N/A</v>
      </c>
    </row>
    <row r="68" ht="43.5">
      <c r="A68">
        <v>457</v>
      </c>
      <c r="B68" s="1" t="s">
        <v>146</v>
      </c>
      <c r="C68" s="12">
        <v>0</v>
      </c>
      <c r="D68" s="19" t="s">
        <v>16</v>
      </c>
      <c r="E68" s="2" t="s">
        <v>32</v>
      </c>
      <c r="F68" s="19" t="s">
        <v>16</v>
      </c>
      <c r="G68" s="21" t="str">
        <f t="shared" si="175"/>
        <v>N/A</v>
      </c>
      <c r="H68" s="12">
        <f t="shared" si="176"/>
        <v>0</v>
      </c>
      <c r="I68" s="19" t="s">
        <v>16</v>
      </c>
      <c r="J68" s="19" t="s">
        <v>32</v>
      </c>
      <c r="K68" s="19" t="s">
        <v>16</v>
      </c>
      <c r="L68" s="21" t="str">
        <f t="shared" si="177"/>
        <v>N/A</v>
      </c>
      <c r="M68" s="21">
        <v>0</v>
      </c>
      <c r="N68" s="19" t="s">
        <v>16</v>
      </c>
      <c r="O68" s="19" t="s">
        <v>32</v>
      </c>
      <c r="P68" s="19" t="s">
        <v>16</v>
      </c>
      <c r="Q68" s="21" t="str">
        <f t="shared" si="178"/>
        <v>N/A</v>
      </c>
      <c r="R68" s="21">
        <v>1</v>
      </c>
      <c r="S68" s="19" t="s">
        <v>500</v>
      </c>
      <c r="T68" s="19" t="s">
        <v>501</v>
      </c>
      <c r="U68" s="19" t="s">
        <v>502</v>
      </c>
      <c r="V68" s="21" t="str">
        <f t="shared" si="179"/>
        <v xml:space="preserve">nuevas lluvias "llegada de nuevas lluvias" nuevas lluvias \muy fuertes o torrenciales\""</v>
      </c>
    </row>
    <row r="69" ht="29.100000000000001">
      <c r="A69">
        <v>460</v>
      </c>
      <c r="B69" s="1" t="s">
        <v>147</v>
      </c>
      <c r="C69" s="12">
        <v>1</v>
      </c>
      <c r="D69" s="19" t="s">
        <v>148</v>
      </c>
      <c r="E69" s="2" t="s">
        <v>149</v>
      </c>
      <c r="F69" s="19" t="s">
        <v>148</v>
      </c>
      <c r="G69" s="21" t="str">
        <f t="shared" si="175"/>
        <v xml:space="preserve">la tormenta perfecta "la tormenta perfecta"</v>
      </c>
      <c r="H69" s="12">
        <f t="shared" si="176"/>
        <v>0</v>
      </c>
      <c r="I69" s="19" t="s">
        <v>16</v>
      </c>
      <c r="J69" s="19" t="s">
        <v>32</v>
      </c>
      <c r="K69" s="19" t="s">
        <v>16</v>
      </c>
      <c r="L69" s="21" t="str">
        <f t="shared" si="177"/>
        <v>N/A</v>
      </c>
      <c r="M69" s="21">
        <v>0</v>
      </c>
      <c r="N69" s="19" t="s">
        <v>16</v>
      </c>
      <c r="O69" s="19" t="s">
        <v>32</v>
      </c>
      <c r="P69" s="19" t="s">
        <v>16</v>
      </c>
      <c r="Q69" s="21" t="str">
        <f t="shared" si="178"/>
        <v>N/A</v>
      </c>
      <c r="R69" s="21">
        <v>0</v>
      </c>
      <c r="S69" s="19" t="s">
        <v>16</v>
      </c>
      <c r="T69" s="19" t="s">
        <v>32</v>
      </c>
      <c r="U69" s="19" t="s">
        <v>16</v>
      </c>
      <c r="V69" s="21" t="str">
        <f t="shared" si="179"/>
        <v>N/A</v>
      </c>
    </row>
    <row r="70" ht="29.100000000000001">
      <c r="A70">
        <v>462</v>
      </c>
      <c r="B70" s="1" t="s">
        <v>150</v>
      </c>
      <c r="C70" s="12">
        <v>0</v>
      </c>
      <c r="D70" s="19" t="s">
        <v>16</v>
      </c>
      <c r="E70" s="2" t="s">
        <v>32</v>
      </c>
      <c r="F70" s="19" t="s">
        <v>16</v>
      </c>
      <c r="G70" s="21" t="str">
        <f t="shared" si="175"/>
        <v>N/A</v>
      </c>
      <c r="H70" s="12">
        <f t="shared" si="176"/>
        <v>0</v>
      </c>
      <c r="I70" s="19" t="s">
        <v>16</v>
      </c>
      <c r="J70" s="19" t="s">
        <v>32</v>
      </c>
      <c r="K70" s="19" t="s">
        <v>16</v>
      </c>
      <c r="L70" s="21" t="str">
        <f t="shared" si="177"/>
        <v>N/A</v>
      </c>
      <c r="M70" s="21">
        <v>0</v>
      </c>
      <c r="N70" s="19" t="s">
        <v>16</v>
      </c>
      <c r="O70" s="19" t="s">
        <v>32</v>
      </c>
      <c r="P70" s="19" t="s">
        <v>16</v>
      </c>
      <c r="Q70" s="21" t="str">
        <f t="shared" si="178"/>
        <v>N/A</v>
      </c>
      <c r="R70" s="21">
        <v>1</v>
      </c>
      <c r="S70" s="19" t="s">
        <v>151</v>
      </c>
      <c r="T70" s="19" t="s">
        <v>152</v>
      </c>
      <c r="U70" s="19" t="s">
        <v>151</v>
      </c>
      <c r="V70" s="21" t="str">
        <f t="shared" si="179"/>
        <v xml:space="preserve">lo peor está por llegar "lo peor está por llegar"</v>
      </c>
    </row>
    <row r="71">
      <c r="A71">
        <v>467</v>
      </c>
      <c r="B71" s="1" t="s">
        <v>153</v>
      </c>
      <c r="C71" s="12">
        <v>0</v>
      </c>
      <c r="D71" s="19" t="s">
        <v>16</v>
      </c>
      <c r="E71" s="2" t="s">
        <v>32</v>
      </c>
      <c r="F71" s="19" t="s">
        <v>16</v>
      </c>
      <c r="G71" s="21" t="str">
        <f t="shared" si="175"/>
        <v>N/A</v>
      </c>
      <c r="H71" s="12">
        <f t="shared" si="176"/>
        <v>0</v>
      </c>
      <c r="I71" s="19" t="s">
        <v>16</v>
      </c>
      <c r="J71" s="19" t="s">
        <v>32</v>
      </c>
      <c r="K71" s="19" t="s">
        <v>16</v>
      </c>
      <c r="L71" s="21" t="str">
        <f t="shared" si="177"/>
        <v>N/A</v>
      </c>
      <c r="M71" s="21">
        <v>0</v>
      </c>
      <c r="N71" s="19" t="s">
        <v>16</v>
      </c>
      <c r="O71" s="19" t="s">
        <v>32</v>
      </c>
      <c r="P71" s="19" t="s">
        <v>16</v>
      </c>
      <c r="Q71" s="21" t="str">
        <f t="shared" si="178"/>
        <v>N/A</v>
      </c>
      <c r="R71" s="21">
        <v>0</v>
      </c>
      <c r="S71" s="19" t="s">
        <v>16</v>
      </c>
      <c r="T71" s="19" t="s">
        <v>32</v>
      </c>
      <c r="U71" s="19" t="s">
        <v>16</v>
      </c>
      <c r="V71" s="21" t="str">
        <f t="shared" si="179"/>
        <v>N/A</v>
      </c>
    </row>
    <row r="72" ht="29.100000000000001">
      <c r="A72">
        <v>470</v>
      </c>
      <c r="B72" s="1" t="s">
        <v>154</v>
      </c>
      <c r="C72" s="12">
        <v>1</v>
      </c>
      <c r="D72" s="19" t="s">
        <v>503</v>
      </c>
      <c r="E72" s="2" t="s">
        <v>156</v>
      </c>
      <c r="F72" s="19" t="s">
        <v>16</v>
      </c>
      <c r="G72" s="21" t="str">
        <f t="shared" si="175"/>
        <v xml:space="preserve">catastrófica "brutal impacto"</v>
      </c>
      <c r="H72" s="12">
        <f t="shared" si="176"/>
        <v>0</v>
      </c>
      <c r="I72" s="19" t="s">
        <v>16</v>
      </c>
      <c r="J72" s="19" t="s">
        <v>32</v>
      </c>
      <c r="K72" s="19" t="s">
        <v>16</v>
      </c>
      <c r="L72" s="21" t="str">
        <f t="shared" si="177"/>
        <v>N/A</v>
      </c>
      <c r="M72" s="21">
        <v>0</v>
      </c>
      <c r="N72" s="19" t="s">
        <v>16</v>
      </c>
      <c r="O72" s="19" t="s">
        <v>32</v>
      </c>
      <c r="P72" s="19" t="s">
        <v>16</v>
      </c>
      <c r="Q72" s="21" t="str">
        <f t="shared" si="178"/>
        <v>N/A</v>
      </c>
      <c r="R72" s="21">
        <v>0</v>
      </c>
      <c r="S72" s="19" t="s">
        <v>16</v>
      </c>
      <c r="T72" s="19" t="s">
        <v>32</v>
      </c>
      <c r="U72" s="19" t="s">
        <v>16</v>
      </c>
      <c r="V72" s="21" t="str">
        <f t="shared" si="179"/>
        <v>N/A</v>
      </c>
    </row>
    <row r="73">
      <c r="A73">
        <v>475</v>
      </c>
      <c r="B73" s="1" t="s">
        <v>158</v>
      </c>
      <c r="C73" s="12">
        <v>0</v>
      </c>
      <c r="D73" s="19" t="s">
        <v>16</v>
      </c>
      <c r="E73" s="2" t="s">
        <v>160</v>
      </c>
      <c r="F73" s="19" t="s">
        <v>16</v>
      </c>
      <c r="G73" s="21" t="str">
        <f t="shared" si="175"/>
        <v>"desastre"</v>
      </c>
      <c r="H73" s="12">
        <f t="shared" si="176"/>
        <v>0</v>
      </c>
      <c r="I73" s="19" t="s">
        <v>16</v>
      </c>
      <c r="J73" s="19" t="s">
        <v>32</v>
      </c>
      <c r="K73" s="19" t="s">
        <v>16</v>
      </c>
      <c r="L73" s="21" t="str">
        <f t="shared" si="177"/>
        <v>N/A</v>
      </c>
      <c r="M73" s="21">
        <v>0</v>
      </c>
      <c r="N73" s="19" t="s">
        <v>16</v>
      </c>
      <c r="O73" s="19" t="s">
        <v>32</v>
      </c>
      <c r="P73" s="19" t="s">
        <v>16</v>
      </c>
      <c r="Q73" s="21" t="str">
        <f t="shared" si="178"/>
        <v>N/A</v>
      </c>
      <c r="R73" s="21">
        <v>0</v>
      </c>
      <c r="S73" s="19" t="s">
        <v>16</v>
      </c>
      <c r="T73" s="19" t="s">
        <v>32</v>
      </c>
      <c r="U73" s="19" t="s">
        <v>16</v>
      </c>
      <c r="V73" s="21" t="str">
        <f t="shared" si="179"/>
        <v>N/A</v>
      </c>
    </row>
    <row r="74">
      <c r="A74">
        <v>481</v>
      </c>
      <c r="B74" s="1" t="s">
        <v>161</v>
      </c>
      <c r="C74" s="12">
        <v>0</v>
      </c>
      <c r="D74" s="19" t="s">
        <v>16</v>
      </c>
      <c r="E74" s="2" t="s">
        <v>32</v>
      </c>
      <c r="F74" s="19" t="s">
        <v>16</v>
      </c>
      <c r="G74" s="21" t="str">
        <f t="shared" ref="G74:G99" si="180">TRIM(_xlfn.CONCAT(IF(D74="N/A","",D74&amp;" "),IF(E74="N/A","",E74&amp;" "),IF(OR(F74="N/A",F74=D74),"",F74&amp;" ")))</f>
        <v>N/A</v>
      </c>
      <c r="H74" s="12">
        <f t="shared" ref="H74:H99" si="181">IF(SUM(E74,F74,G74)&gt;=2,1,0)</f>
        <v>0</v>
      </c>
      <c r="I74" s="19" t="s">
        <v>16</v>
      </c>
      <c r="J74" s="19" t="s">
        <v>32</v>
      </c>
      <c r="K74" s="19" t="s">
        <v>16</v>
      </c>
      <c r="L74" s="21" t="str">
        <f t="shared" ref="L74:L99" si="182">TRIM(_xlfn.CONCAT(IF(I74="N/A","",I74&amp;" "),IF(J74="N/A","",J74&amp;" "),IF(OR(K74="N/A",K74=I74),"",K74&amp;" ")))</f>
        <v>N/A</v>
      </c>
      <c r="M74" s="22">
        <v>0</v>
      </c>
      <c r="N74" s="19" t="s">
        <v>16</v>
      </c>
      <c r="O74" s="19" t="s">
        <v>32</v>
      </c>
      <c r="P74" s="19" t="s">
        <v>16</v>
      </c>
      <c r="Q74" s="21" t="str">
        <f t="shared" ref="Q74:Q99" si="183">TRIM(_xlfn.CONCAT(IF(N74="N/A","",N74&amp;" "),IF(O74="N/A","",O74&amp;" "),IF(OR(P74="N/A",P74=N74),"",P74&amp;" ")))</f>
        <v>N/A</v>
      </c>
      <c r="R74" s="21">
        <v>0</v>
      </c>
      <c r="S74" s="19" t="s">
        <v>16</v>
      </c>
      <c r="T74" s="19" t="s">
        <v>32</v>
      </c>
      <c r="U74" s="19" t="s">
        <v>16</v>
      </c>
      <c r="V74" s="21" t="str">
        <f t="shared" ref="V74:V99" si="184">TRIM(_xlfn.CONCAT(IF(S74="N/A","",S74&amp;" "),IF(T74="N/A","",T74&amp;" "),IF(OR(U74="N/A",U74=S74),"",U74&amp;" ")))</f>
        <v>N/A</v>
      </c>
    </row>
    <row r="75">
      <c r="A75">
        <v>482</v>
      </c>
      <c r="B75" s="1" t="s">
        <v>162</v>
      </c>
      <c r="C75" s="12">
        <v>0</v>
      </c>
      <c r="D75" s="19" t="s">
        <v>16</v>
      </c>
      <c r="E75" s="2" t="s">
        <v>32</v>
      </c>
      <c r="F75" s="19" t="s">
        <v>16</v>
      </c>
      <c r="G75" s="21" t="str">
        <f t="shared" si="180"/>
        <v>N/A</v>
      </c>
      <c r="H75" s="12">
        <f t="shared" si="181"/>
        <v>0</v>
      </c>
      <c r="I75" s="19" t="s">
        <v>16</v>
      </c>
      <c r="J75" s="19" t="s">
        <v>504</v>
      </c>
      <c r="K75" s="19" t="s">
        <v>16</v>
      </c>
      <c r="L75" s="21" t="str">
        <f t="shared" si="182"/>
        <v xml:space="preserve">"suspender clases"</v>
      </c>
      <c r="M75" s="21">
        <v>0</v>
      </c>
      <c r="N75" s="19" t="s">
        <v>16</v>
      </c>
      <c r="O75" s="19" t="s">
        <v>32</v>
      </c>
      <c r="P75" s="19" t="s">
        <v>16</v>
      </c>
      <c r="Q75" s="21" t="str">
        <f t="shared" si="183"/>
        <v>N/A</v>
      </c>
      <c r="R75" s="21">
        <v>0</v>
      </c>
      <c r="S75" s="19" t="s">
        <v>16</v>
      </c>
      <c r="T75" s="19" t="s">
        <v>32</v>
      </c>
      <c r="U75" s="19" t="s">
        <v>16</v>
      </c>
      <c r="V75" s="21" t="str">
        <f t="shared" si="184"/>
        <v>N/A</v>
      </c>
    </row>
    <row r="76" ht="43.5">
      <c r="A76">
        <v>485</v>
      </c>
      <c r="B76" s="1" t="s">
        <v>163</v>
      </c>
      <c r="C76" s="12">
        <v>1</v>
      </c>
      <c r="D76" s="19" t="s">
        <v>164</v>
      </c>
      <c r="E76" s="2" t="s">
        <v>165</v>
      </c>
      <c r="F76" s="19" t="s">
        <v>164</v>
      </c>
      <c r="G76" s="21" t="str">
        <f t="shared" si="180"/>
        <v xml:space="preserve">La peor catástrofe meteorológica "La peor catástrofe"</v>
      </c>
      <c r="H76" s="12">
        <f t="shared" si="181"/>
        <v>0</v>
      </c>
      <c r="I76" s="19" t="s">
        <v>16</v>
      </c>
      <c r="J76" s="19" t="s">
        <v>32</v>
      </c>
      <c r="K76" s="19" t="s">
        <v>16</v>
      </c>
      <c r="L76" s="21" t="str">
        <f t="shared" si="182"/>
        <v>N/A</v>
      </c>
      <c r="M76" s="21">
        <v>0</v>
      </c>
      <c r="N76" s="19" t="s">
        <v>16</v>
      </c>
      <c r="O76" s="19" t="s">
        <v>32</v>
      </c>
      <c r="P76" s="19" t="s">
        <v>16</v>
      </c>
      <c r="Q76" s="21" t="str">
        <f t="shared" si="183"/>
        <v>N/A</v>
      </c>
      <c r="R76" s="21">
        <v>0</v>
      </c>
      <c r="S76" s="19" t="s">
        <v>16</v>
      </c>
      <c r="T76" s="19" t="s">
        <v>32</v>
      </c>
      <c r="U76" s="19" t="s">
        <v>16</v>
      </c>
      <c r="V76" s="21" t="str">
        <f t="shared" si="184"/>
        <v>N/A</v>
      </c>
    </row>
    <row r="77" ht="87">
      <c r="A77">
        <v>490</v>
      </c>
      <c r="B77" s="1" t="s">
        <v>166</v>
      </c>
      <c r="C77" s="12">
        <v>1</v>
      </c>
      <c r="D77" s="19" t="s">
        <v>505</v>
      </c>
      <c r="E77" s="2" t="s">
        <v>506</v>
      </c>
      <c r="F77" s="19" t="s">
        <v>507</v>
      </c>
      <c r="G77" s="21" t="str">
        <f t="shared" si="180"/>
        <v xml:space="preserve">nunca habían visto "nunca habían visto" nunca habían visto desbordarse el Barranco de Barxeta tres veces en un día</v>
      </c>
      <c r="H77" s="12">
        <f t="shared" si="181"/>
        <v>0</v>
      </c>
      <c r="I77" s="19" t="s">
        <v>16</v>
      </c>
      <c r="J77" s="19" t="s">
        <v>32</v>
      </c>
      <c r="K77" s="19" t="s">
        <v>16</v>
      </c>
      <c r="L77" s="21" t="str">
        <f t="shared" si="182"/>
        <v>N/A</v>
      </c>
      <c r="M77" s="21">
        <v>0</v>
      </c>
      <c r="N77" s="19" t="s">
        <v>16</v>
      </c>
      <c r="O77" s="19" t="s">
        <v>32</v>
      </c>
      <c r="P77" s="19" t="s">
        <v>16</v>
      </c>
      <c r="Q77" s="21" t="str">
        <f t="shared" si="183"/>
        <v>N/A</v>
      </c>
      <c r="R77" s="21">
        <v>0</v>
      </c>
      <c r="S77" s="19" t="s">
        <v>16</v>
      </c>
      <c r="T77" s="19" t="s">
        <v>32</v>
      </c>
      <c r="U77" s="19" t="s">
        <v>16</v>
      </c>
      <c r="V77" s="21" t="str">
        <f t="shared" si="184"/>
        <v>N/A</v>
      </c>
    </row>
    <row r="78" ht="57.950000000000003">
      <c r="A78">
        <v>491</v>
      </c>
      <c r="B78" s="1" t="s">
        <v>167</v>
      </c>
      <c r="C78" s="12">
        <v>1</v>
      </c>
      <c r="D78" s="19" t="s">
        <v>508</v>
      </c>
      <c r="E78" s="2" t="s">
        <v>509</v>
      </c>
      <c r="F78" s="19" t="s">
        <v>16</v>
      </c>
      <c r="G78" s="21" t="str">
        <f t="shared" si="180"/>
        <v xml:space="preserve">máximo de 784 litros en 24 horas "máximo de 784 litros en 24 horas"</v>
      </c>
      <c r="H78" s="12">
        <f t="shared" si="181"/>
        <v>0</v>
      </c>
      <c r="I78" s="19" t="s">
        <v>16</v>
      </c>
      <c r="J78" s="19" t="s">
        <v>32</v>
      </c>
      <c r="K78" s="19" t="s">
        <v>16</v>
      </c>
      <c r="L78" s="21" t="str">
        <f t="shared" si="182"/>
        <v>N/A</v>
      </c>
      <c r="M78" s="21">
        <v>0</v>
      </c>
      <c r="N78" s="19" t="s">
        <v>16</v>
      </c>
      <c r="O78" s="19" t="s">
        <v>32</v>
      </c>
      <c r="P78" s="19" t="s">
        <v>16</v>
      </c>
      <c r="Q78" s="21" t="str">
        <f t="shared" si="183"/>
        <v>N/A</v>
      </c>
      <c r="R78" s="21">
        <v>0</v>
      </c>
      <c r="S78" s="19" t="s">
        <v>16</v>
      </c>
      <c r="T78" s="19" t="s">
        <v>32</v>
      </c>
      <c r="U78" s="19" t="s">
        <v>16</v>
      </c>
      <c r="V78" s="21" t="str">
        <f t="shared" si="184"/>
        <v>N/A</v>
      </c>
    </row>
    <row r="79">
      <c r="A79">
        <v>492</v>
      </c>
      <c r="B79" s="1" t="s">
        <v>168</v>
      </c>
      <c r="C79" s="12">
        <v>0</v>
      </c>
      <c r="D79" s="19" t="s">
        <v>16</v>
      </c>
      <c r="E79" s="2" t="s">
        <v>170</v>
      </c>
      <c r="F79" s="19" t="s">
        <v>16</v>
      </c>
      <c r="G79" s="21" t="str">
        <f t="shared" si="180"/>
        <v xml:space="preserve">"ratonera mortal"</v>
      </c>
      <c r="H79" s="12">
        <f t="shared" si="181"/>
        <v>0</v>
      </c>
      <c r="I79" s="19" t="s">
        <v>16</v>
      </c>
      <c r="J79" s="19" t="s">
        <v>32</v>
      </c>
      <c r="K79" s="19" t="s">
        <v>16</v>
      </c>
      <c r="L79" s="21" t="str">
        <f t="shared" si="182"/>
        <v>N/A</v>
      </c>
      <c r="M79" s="21">
        <v>1</v>
      </c>
      <c r="N79" s="19" t="s">
        <v>171</v>
      </c>
      <c r="O79" s="19" t="s">
        <v>32</v>
      </c>
      <c r="P79" s="19" t="s">
        <v>171</v>
      </c>
      <c r="Q79" s="21" t="str">
        <f t="shared" si="183"/>
        <v xml:space="preserve">ratonera mortal N/A</v>
      </c>
      <c r="R79" s="21">
        <v>0</v>
      </c>
      <c r="S79" s="19" t="s">
        <v>16</v>
      </c>
      <c r="T79" s="19" t="s">
        <v>32</v>
      </c>
      <c r="U79" s="19" t="s">
        <v>16</v>
      </c>
      <c r="V79" s="21" t="str">
        <f t="shared" si="184"/>
        <v>N/A</v>
      </c>
    </row>
    <row r="80" ht="43.5">
      <c r="A80">
        <v>496</v>
      </c>
      <c r="B80" s="1" t="s">
        <v>172</v>
      </c>
      <c r="C80" s="24">
        <v>0</v>
      </c>
      <c r="D80" s="19" t="s">
        <v>16</v>
      </c>
      <c r="E80" s="2" t="s">
        <v>32</v>
      </c>
      <c r="F80" s="19" t="s">
        <v>16</v>
      </c>
      <c r="G80" s="21" t="str">
        <f t="shared" si="180"/>
        <v>N/A</v>
      </c>
      <c r="H80" s="12">
        <f t="shared" si="181"/>
        <v>0</v>
      </c>
      <c r="I80" s="19" t="s">
        <v>16</v>
      </c>
      <c r="J80" s="19" t="s">
        <v>32</v>
      </c>
      <c r="K80" s="19" t="s">
        <v>16</v>
      </c>
      <c r="L80" s="21" t="str">
        <f t="shared" si="182"/>
        <v>N/A</v>
      </c>
      <c r="M80" s="21">
        <v>0</v>
      </c>
      <c r="N80" s="19" t="s">
        <v>16</v>
      </c>
      <c r="O80" s="19" t="s">
        <v>510</v>
      </c>
      <c r="P80" s="19" t="s">
        <v>16</v>
      </c>
      <c r="Q80" s="21" t="str">
        <f t="shared" si="183"/>
        <v xml:space="preserve">"dos días antes los pueblos estaban evacuados"</v>
      </c>
      <c r="R80" s="21">
        <v>0</v>
      </c>
      <c r="S80" s="19" t="s">
        <v>16</v>
      </c>
      <c r="T80" s="19" t="s">
        <v>32</v>
      </c>
      <c r="U80" s="19" t="s">
        <v>16</v>
      </c>
      <c r="V80" s="21" t="str">
        <f t="shared" si="184"/>
        <v>N/A</v>
      </c>
    </row>
    <row r="81">
      <c r="A81">
        <v>503</v>
      </c>
      <c r="B81" s="1" t="s">
        <v>173</v>
      </c>
      <c r="C81" s="24">
        <v>0</v>
      </c>
      <c r="D81" s="19" t="s">
        <v>16</v>
      </c>
      <c r="E81" s="2" t="s">
        <v>32</v>
      </c>
      <c r="F81" s="19" t="s">
        <v>16</v>
      </c>
      <c r="G81" s="21" t="str">
        <f t="shared" si="180"/>
        <v>N/A</v>
      </c>
      <c r="H81" s="12">
        <f t="shared" si="181"/>
        <v>0</v>
      </c>
      <c r="I81" s="19" t="s">
        <v>16</v>
      </c>
      <c r="J81" s="19" t="s">
        <v>32</v>
      </c>
      <c r="K81" s="19" t="s">
        <v>16</v>
      </c>
      <c r="L81" s="21" t="str">
        <f t="shared" si="182"/>
        <v>N/A</v>
      </c>
      <c r="M81" s="21">
        <v>0</v>
      </c>
      <c r="N81" s="19" t="s">
        <v>16</v>
      </c>
      <c r="O81" s="19" t="s">
        <v>32</v>
      </c>
      <c r="P81" s="19" t="s">
        <v>16</v>
      </c>
      <c r="Q81" s="21" t="str">
        <f t="shared" si="183"/>
        <v>N/A</v>
      </c>
      <c r="R81" s="21">
        <v>0</v>
      </c>
      <c r="S81" s="19" t="s">
        <v>16</v>
      </c>
      <c r="T81" s="19" t="s">
        <v>32</v>
      </c>
      <c r="U81" s="19" t="s">
        <v>16</v>
      </c>
      <c r="V81" s="21" t="str">
        <f t="shared" si="184"/>
        <v>N/A</v>
      </c>
    </row>
    <row r="82">
      <c r="A82">
        <v>508</v>
      </c>
      <c r="B82" s="1" t="s">
        <v>174</v>
      </c>
      <c r="C82" s="12">
        <v>0</v>
      </c>
      <c r="D82" s="19" t="s">
        <v>16</v>
      </c>
      <c r="E82" s="2" t="s">
        <v>32</v>
      </c>
      <c r="F82" s="19" t="s">
        <v>16</v>
      </c>
      <c r="G82" s="21" t="str">
        <f t="shared" si="180"/>
        <v>N/A</v>
      </c>
      <c r="H82" s="12">
        <f t="shared" si="181"/>
        <v>0</v>
      </c>
      <c r="I82" s="19" t="s">
        <v>16</v>
      </c>
      <c r="J82" s="19" t="s">
        <v>32</v>
      </c>
      <c r="K82" s="19" t="s">
        <v>16</v>
      </c>
      <c r="L82" s="21" t="str">
        <f t="shared" si="182"/>
        <v>N/A</v>
      </c>
      <c r="M82" s="21">
        <v>0</v>
      </c>
      <c r="N82" s="19" t="s">
        <v>16</v>
      </c>
      <c r="O82" s="19" t="s">
        <v>32</v>
      </c>
      <c r="P82" s="19" t="s">
        <v>16</v>
      </c>
      <c r="Q82" s="21" t="str">
        <f t="shared" si="183"/>
        <v>N/A</v>
      </c>
      <c r="R82" s="21">
        <v>0</v>
      </c>
      <c r="S82" s="19" t="s">
        <v>16</v>
      </c>
      <c r="T82" s="19" t="s">
        <v>32</v>
      </c>
      <c r="U82" s="19" t="s">
        <v>16</v>
      </c>
      <c r="V82" s="21" t="str">
        <f t="shared" si="184"/>
        <v>N/A</v>
      </c>
    </row>
    <row r="83">
      <c r="A83">
        <v>509</v>
      </c>
      <c r="B83" s="1" t="s">
        <v>175</v>
      </c>
      <c r="C83" s="12">
        <v>0</v>
      </c>
      <c r="D83" s="19" t="s">
        <v>16</v>
      </c>
      <c r="E83" s="2" t="s">
        <v>32</v>
      </c>
      <c r="F83" s="19" t="s">
        <v>16</v>
      </c>
      <c r="G83" s="21" t="str">
        <f t="shared" si="180"/>
        <v>N/A</v>
      </c>
      <c r="H83" s="12">
        <f t="shared" si="181"/>
        <v>0</v>
      </c>
      <c r="I83" s="19" t="s">
        <v>16</v>
      </c>
      <c r="J83" s="19" t="s">
        <v>32</v>
      </c>
      <c r="K83" s="19" t="s">
        <v>16</v>
      </c>
      <c r="L83" s="21" t="str">
        <f t="shared" si="182"/>
        <v>N/A</v>
      </c>
      <c r="M83" s="21">
        <v>0</v>
      </c>
      <c r="N83" s="19" t="s">
        <v>16</v>
      </c>
      <c r="O83" s="19" t="s">
        <v>32</v>
      </c>
      <c r="P83" s="19" t="s">
        <v>16</v>
      </c>
      <c r="Q83" s="21" t="str">
        <f t="shared" si="183"/>
        <v>N/A</v>
      </c>
      <c r="R83" s="21">
        <v>0</v>
      </c>
      <c r="S83" s="19" t="s">
        <v>16</v>
      </c>
      <c r="T83" s="19" t="s">
        <v>32</v>
      </c>
      <c r="U83" s="19" t="s">
        <v>16</v>
      </c>
      <c r="V83" s="21" t="str">
        <f t="shared" si="184"/>
        <v>N/A</v>
      </c>
    </row>
    <row r="84">
      <c r="A84">
        <v>525</v>
      </c>
      <c r="B84" s="1" t="s">
        <v>176</v>
      </c>
      <c r="C84" s="12">
        <v>0</v>
      </c>
      <c r="D84" s="19" t="s">
        <v>16</v>
      </c>
      <c r="E84" s="2" t="s">
        <v>32</v>
      </c>
      <c r="F84" s="19" t="s">
        <v>16</v>
      </c>
      <c r="G84" s="21" t="str">
        <f t="shared" si="180"/>
        <v>N/A</v>
      </c>
      <c r="H84" s="12">
        <f t="shared" si="181"/>
        <v>0</v>
      </c>
      <c r="I84" s="19" t="s">
        <v>16</v>
      </c>
      <c r="J84" s="19" t="s">
        <v>32</v>
      </c>
      <c r="K84" s="19" t="s">
        <v>16</v>
      </c>
      <c r="L84" s="21" t="str">
        <f t="shared" si="182"/>
        <v>N/A</v>
      </c>
      <c r="M84" s="21">
        <v>0</v>
      </c>
      <c r="N84" s="19" t="s">
        <v>16</v>
      </c>
      <c r="O84" s="19" t="s">
        <v>32</v>
      </c>
      <c r="P84" s="19" t="s">
        <v>16</v>
      </c>
      <c r="Q84" s="21" t="str">
        <f t="shared" si="183"/>
        <v>N/A</v>
      </c>
      <c r="R84" s="21">
        <v>0</v>
      </c>
      <c r="S84" s="19" t="s">
        <v>16</v>
      </c>
      <c r="T84" s="19" t="s">
        <v>32</v>
      </c>
      <c r="U84" s="19" t="s">
        <v>16</v>
      </c>
      <c r="V84" s="21" t="str">
        <f t="shared" si="184"/>
        <v>N/A</v>
      </c>
    </row>
    <row r="85">
      <c r="A85">
        <v>527</v>
      </c>
      <c r="B85" s="1" t="s">
        <v>177</v>
      </c>
      <c r="C85" s="12">
        <v>0</v>
      </c>
      <c r="D85" s="19" t="s">
        <v>16</v>
      </c>
      <c r="E85" s="2" t="s">
        <v>32</v>
      </c>
      <c r="F85" s="19" t="s">
        <v>16</v>
      </c>
      <c r="G85" s="21" t="str">
        <f t="shared" si="180"/>
        <v>N/A</v>
      </c>
      <c r="H85" s="12">
        <f t="shared" si="181"/>
        <v>0</v>
      </c>
      <c r="I85" s="19" t="s">
        <v>16</v>
      </c>
      <c r="J85" s="19" t="s">
        <v>32</v>
      </c>
      <c r="K85" s="19" t="s">
        <v>16</v>
      </c>
      <c r="L85" s="21" t="str">
        <f t="shared" si="182"/>
        <v>N/A</v>
      </c>
      <c r="M85" s="21">
        <v>0</v>
      </c>
      <c r="N85" s="19" t="s">
        <v>16</v>
      </c>
      <c r="O85" s="19" t="s">
        <v>32</v>
      </c>
      <c r="P85" s="19" t="s">
        <v>16</v>
      </c>
      <c r="Q85" s="21" t="str">
        <f t="shared" si="183"/>
        <v>N/A</v>
      </c>
      <c r="R85" s="21">
        <v>0</v>
      </c>
      <c r="S85" s="19" t="s">
        <v>16</v>
      </c>
      <c r="T85" s="19" t="s">
        <v>32</v>
      </c>
      <c r="U85" s="19" t="s">
        <v>16</v>
      </c>
      <c r="V85" s="21" t="str">
        <f t="shared" si="184"/>
        <v>N/A</v>
      </c>
    </row>
    <row r="86">
      <c r="A86">
        <v>532</v>
      </c>
      <c r="B86" s="1" t="s">
        <v>178</v>
      </c>
      <c r="C86">
        <v>0</v>
      </c>
      <c r="D86" s="19" t="s">
        <v>16</v>
      </c>
      <c r="E86" s="2" t="s">
        <v>32</v>
      </c>
      <c r="F86" s="19" t="s">
        <v>16</v>
      </c>
      <c r="G86" s="21" t="str">
        <f t="shared" si="180"/>
        <v>N/A</v>
      </c>
      <c r="H86" s="12">
        <f t="shared" si="181"/>
        <v>0</v>
      </c>
      <c r="I86" s="19" t="s">
        <v>16</v>
      </c>
      <c r="J86" s="19" t="s">
        <v>32</v>
      </c>
      <c r="K86" s="19" t="s">
        <v>16</v>
      </c>
      <c r="L86" s="21" t="str">
        <f t="shared" si="182"/>
        <v>N/A</v>
      </c>
      <c r="M86" s="1">
        <v>0</v>
      </c>
      <c r="N86" s="19" t="s">
        <v>16</v>
      </c>
      <c r="O86" s="19" t="s">
        <v>32</v>
      </c>
      <c r="P86" s="19" t="s">
        <v>16</v>
      </c>
      <c r="Q86" s="21" t="str">
        <f t="shared" si="183"/>
        <v>N/A</v>
      </c>
      <c r="R86" s="1">
        <v>0</v>
      </c>
      <c r="S86" s="19" t="s">
        <v>16</v>
      </c>
      <c r="T86" s="19" t="s">
        <v>32</v>
      </c>
      <c r="U86" s="19" t="s">
        <v>16</v>
      </c>
      <c r="V86" s="21" t="str">
        <f t="shared" si="184"/>
        <v>N/A</v>
      </c>
    </row>
    <row r="87" ht="43.5">
      <c r="A87">
        <v>534</v>
      </c>
      <c r="B87" s="1" t="s">
        <v>179</v>
      </c>
      <c r="C87">
        <v>0</v>
      </c>
      <c r="D87" s="19" t="s">
        <v>16</v>
      </c>
      <c r="E87" s="2" t="s">
        <v>32</v>
      </c>
      <c r="F87" s="19" t="s">
        <v>511</v>
      </c>
      <c r="G87" s="21" t="str">
        <f t="shared" si="180"/>
        <v xml:space="preserve">N/A irrumpió la DANA en Aldaya sin apenas llover</v>
      </c>
      <c r="H87" s="12">
        <f t="shared" si="181"/>
        <v>0</v>
      </c>
      <c r="I87" s="19" t="s">
        <v>16</v>
      </c>
      <c r="J87" s="19" t="s">
        <v>32</v>
      </c>
      <c r="K87" s="19" t="s">
        <v>16</v>
      </c>
      <c r="L87" s="21" t="str">
        <f t="shared" si="182"/>
        <v>N/A</v>
      </c>
      <c r="M87" s="1">
        <v>0</v>
      </c>
      <c r="N87" s="19" t="s">
        <v>16</v>
      </c>
      <c r="O87" s="19" t="s">
        <v>32</v>
      </c>
      <c r="P87" s="19" t="s">
        <v>16</v>
      </c>
      <c r="Q87" s="21" t="str">
        <f t="shared" si="183"/>
        <v>N/A</v>
      </c>
      <c r="R87" s="1">
        <v>0</v>
      </c>
      <c r="S87" s="19" t="s">
        <v>16</v>
      </c>
      <c r="T87" s="19" t="s">
        <v>32</v>
      </c>
      <c r="U87" s="19" t="s">
        <v>16</v>
      </c>
      <c r="V87" s="21" t="str">
        <f t="shared" si="184"/>
        <v>N/A</v>
      </c>
    </row>
    <row r="88">
      <c r="A88">
        <v>535</v>
      </c>
      <c r="B88" s="1" t="s">
        <v>182</v>
      </c>
      <c r="C88">
        <v>0</v>
      </c>
      <c r="D88" s="19" t="s">
        <v>16</v>
      </c>
      <c r="E88" s="2" t="s">
        <v>32</v>
      </c>
      <c r="F88" s="19" t="s">
        <v>16</v>
      </c>
      <c r="G88" s="21" t="str">
        <f t="shared" si="180"/>
        <v>N/A</v>
      </c>
      <c r="H88" s="12">
        <f t="shared" si="181"/>
        <v>0</v>
      </c>
      <c r="I88" s="19" t="s">
        <v>16</v>
      </c>
      <c r="J88" s="19" t="s">
        <v>32</v>
      </c>
      <c r="K88" s="19" t="s">
        <v>16</v>
      </c>
      <c r="L88" s="21" t="str">
        <f t="shared" si="182"/>
        <v>N/A</v>
      </c>
      <c r="M88" s="1">
        <v>0</v>
      </c>
      <c r="N88" s="19" t="s">
        <v>16</v>
      </c>
      <c r="O88" s="19" t="s">
        <v>32</v>
      </c>
      <c r="P88" s="19" t="s">
        <v>16</v>
      </c>
      <c r="Q88" s="21" t="str">
        <f t="shared" si="183"/>
        <v>N/A</v>
      </c>
      <c r="R88" s="1">
        <v>0</v>
      </c>
      <c r="S88" s="19" t="s">
        <v>16</v>
      </c>
      <c r="T88" s="19" t="s">
        <v>32</v>
      </c>
      <c r="U88" s="19" t="s">
        <v>16</v>
      </c>
      <c r="V88" s="21" t="str">
        <f t="shared" si="184"/>
        <v>N/A</v>
      </c>
    </row>
    <row r="89">
      <c r="A89">
        <v>538</v>
      </c>
      <c r="B89" s="1" t="s">
        <v>183</v>
      </c>
      <c r="C89">
        <v>0</v>
      </c>
      <c r="D89" s="19" t="s">
        <v>16</v>
      </c>
      <c r="E89" s="2" t="s">
        <v>184</v>
      </c>
      <c r="F89" s="19" t="s">
        <v>16</v>
      </c>
      <c r="G89" s="21" t="str">
        <f t="shared" si="180"/>
        <v>"tragedia"</v>
      </c>
      <c r="H89" s="12">
        <f t="shared" si="181"/>
        <v>0</v>
      </c>
      <c r="I89" s="19" t="s">
        <v>16</v>
      </c>
      <c r="J89" s="19" t="s">
        <v>32</v>
      </c>
      <c r="K89" s="19" t="s">
        <v>16</v>
      </c>
      <c r="L89" s="21" t="str">
        <f t="shared" si="182"/>
        <v>N/A</v>
      </c>
      <c r="M89" s="1">
        <v>0</v>
      </c>
      <c r="N89" s="19" t="s">
        <v>16</v>
      </c>
      <c r="O89" s="19" t="s">
        <v>32</v>
      </c>
      <c r="P89" s="19" t="s">
        <v>16</v>
      </c>
      <c r="Q89" s="21" t="str">
        <f t="shared" si="183"/>
        <v>N/A</v>
      </c>
      <c r="R89" s="1">
        <v>0</v>
      </c>
      <c r="S89" s="19" t="s">
        <v>16</v>
      </c>
      <c r="T89" s="19" t="s">
        <v>32</v>
      </c>
      <c r="U89" s="19" t="s">
        <v>16</v>
      </c>
      <c r="V89" s="21" t="str">
        <f t="shared" si="184"/>
        <v>N/A</v>
      </c>
    </row>
    <row r="90">
      <c r="A90">
        <v>540</v>
      </c>
      <c r="B90" s="1" t="s">
        <v>185</v>
      </c>
      <c r="C90">
        <v>0</v>
      </c>
      <c r="D90" s="19" t="s">
        <v>16</v>
      </c>
      <c r="E90" s="2" t="s">
        <v>32</v>
      </c>
      <c r="F90" s="19" t="s">
        <v>16</v>
      </c>
      <c r="G90" s="21" t="str">
        <f t="shared" si="180"/>
        <v>N/A</v>
      </c>
      <c r="H90" s="12">
        <f t="shared" si="181"/>
        <v>0</v>
      </c>
      <c r="I90" s="19" t="s">
        <v>16</v>
      </c>
      <c r="J90" s="19" t="s">
        <v>32</v>
      </c>
      <c r="K90" s="19" t="s">
        <v>16</v>
      </c>
      <c r="L90" s="21" t="str">
        <f t="shared" si="182"/>
        <v>N/A</v>
      </c>
      <c r="M90" s="1">
        <v>0</v>
      </c>
      <c r="N90" s="19" t="s">
        <v>16</v>
      </c>
      <c r="O90" s="19" t="s">
        <v>512</v>
      </c>
      <c r="P90" s="19" t="s">
        <v>16</v>
      </c>
      <c r="Q90" s="21" t="str">
        <f t="shared" si="183"/>
        <v xml:space="preserve">"Cruz Roja se vuelca"</v>
      </c>
      <c r="R90" s="1">
        <v>0</v>
      </c>
      <c r="S90" s="19" t="s">
        <v>16</v>
      </c>
      <c r="T90" s="19" t="s">
        <v>32</v>
      </c>
      <c r="U90" s="19" t="s">
        <v>16</v>
      </c>
      <c r="V90" s="21" t="str">
        <f t="shared" si="184"/>
        <v>N/A</v>
      </c>
    </row>
    <row r="91" ht="29.100000000000001">
      <c r="A91">
        <v>550</v>
      </c>
      <c r="B91" s="1" t="s">
        <v>186</v>
      </c>
      <c r="C91">
        <v>1</v>
      </c>
      <c r="D91" s="19" t="s">
        <v>189</v>
      </c>
      <c r="E91" s="2" t="s">
        <v>188</v>
      </c>
      <c r="F91" s="19" t="s">
        <v>189</v>
      </c>
      <c r="G91" s="21" t="str">
        <f t="shared" si="180"/>
        <v xml:space="preserve">la peor DANA del siglo "peor DANA del siglo"</v>
      </c>
      <c r="H91" s="12">
        <f t="shared" si="181"/>
        <v>0</v>
      </c>
      <c r="I91" s="19" t="s">
        <v>16</v>
      </c>
      <c r="J91" s="19" t="s">
        <v>32</v>
      </c>
      <c r="K91" s="19" t="s">
        <v>16</v>
      </c>
      <c r="L91" s="21" t="str">
        <f t="shared" si="182"/>
        <v>N/A</v>
      </c>
      <c r="M91" s="1">
        <v>0</v>
      </c>
      <c r="N91" s="19" t="s">
        <v>16</v>
      </c>
      <c r="O91" s="19" t="s">
        <v>32</v>
      </c>
      <c r="P91" s="19" t="s">
        <v>16</v>
      </c>
      <c r="Q91" s="21" t="str">
        <f t="shared" si="183"/>
        <v>N/A</v>
      </c>
      <c r="R91" s="1">
        <v>0</v>
      </c>
      <c r="S91" s="19" t="s">
        <v>16</v>
      </c>
      <c r="T91" s="19" t="s">
        <v>32</v>
      </c>
      <c r="U91" s="19" t="s">
        <v>16</v>
      </c>
      <c r="V91" s="21" t="str">
        <f t="shared" si="184"/>
        <v>N/A</v>
      </c>
    </row>
    <row r="92" ht="43.5">
      <c r="A92">
        <v>558</v>
      </c>
      <c r="B92" s="1" t="s">
        <v>190</v>
      </c>
      <c r="C92">
        <v>0</v>
      </c>
      <c r="D92" s="19" t="s">
        <v>16</v>
      </c>
      <c r="E92" s="2" t="s">
        <v>32</v>
      </c>
      <c r="F92" s="19" t="s">
        <v>16</v>
      </c>
      <c r="G92" s="21" t="str">
        <f t="shared" si="180"/>
        <v>N/A</v>
      </c>
      <c r="H92" s="12">
        <f t="shared" si="181"/>
        <v>0</v>
      </c>
      <c r="I92" s="19" t="s">
        <v>16</v>
      </c>
      <c r="J92" s="19" t="s">
        <v>32</v>
      </c>
      <c r="K92" s="19" t="s">
        <v>16</v>
      </c>
      <c r="L92" s="21" t="str">
        <f t="shared" si="182"/>
        <v>N/A</v>
      </c>
      <c r="M92" s="1">
        <v>0</v>
      </c>
      <c r="N92" s="19" t="s">
        <v>16</v>
      </c>
      <c r="O92" s="19" t="s">
        <v>32</v>
      </c>
      <c r="P92" s="19" t="s">
        <v>16</v>
      </c>
      <c r="Q92" s="21" t="str">
        <f t="shared" si="183"/>
        <v>N/A</v>
      </c>
      <c r="R92" s="1">
        <v>1</v>
      </c>
      <c r="S92" s="19" t="s">
        <v>513</v>
      </c>
      <c r="T92" s="19" t="s">
        <v>514</v>
      </c>
      <c r="U92" s="19" t="s">
        <v>513</v>
      </c>
      <c r="V92" s="21" t="str">
        <f t="shared" si="184"/>
        <v xml:space="preserve">Vamos a tener lluvias abundantes con fuertes tormentas "nueva DANA"</v>
      </c>
    </row>
    <row r="93" ht="29.100000000000001">
      <c r="A93">
        <v>559</v>
      </c>
      <c r="B93" s="1" t="s">
        <v>191</v>
      </c>
      <c r="C93">
        <v>0</v>
      </c>
      <c r="D93" s="19" t="s">
        <v>16</v>
      </c>
      <c r="E93" s="2" t="s">
        <v>32</v>
      </c>
      <c r="F93" s="19" t="s">
        <v>16</v>
      </c>
      <c r="G93" s="21" t="str">
        <f t="shared" si="180"/>
        <v>N/A</v>
      </c>
      <c r="H93" s="12">
        <f t="shared" si="181"/>
        <v>0</v>
      </c>
      <c r="I93" s="19" t="s">
        <v>515</v>
      </c>
      <c r="J93" s="19" t="s">
        <v>516</v>
      </c>
      <c r="K93" s="19" t="s">
        <v>16</v>
      </c>
      <c r="L93" s="21" t="str">
        <f t="shared" si="182"/>
        <v xml:space="preserve">cargas policiales "cargas policiales"</v>
      </c>
      <c r="M93" s="1">
        <v>0</v>
      </c>
      <c r="N93" s="19" t="s">
        <v>16</v>
      </c>
      <c r="O93" s="19" t="s">
        <v>32</v>
      </c>
      <c r="P93" s="19" t="s">
        <v>16</v>
      </c>
      <c r="Q93" s="21" t="str">
        <f t="shared" si="183"/>
        <v>N/A</v>
      </c>
      <c r="R93" s="1">
        <v>0</v>
      </c>
      <c r="S93" s="19" t="s">
        <v>16</v>
      </c>
      <c r="T93" s="19" t="s">
        <v>32</v>
      </c>
      <c r="U93" s="19" t="s">
        <v>16</v>
      </c>
      <c r="V93" s="21" t="str">
        <f t="shared" si="184"/>
        <v>N/A</v>
      </c>
    </row>
    <row r="94" ht="43.5">
      <c r="A94">
        <v>563</v>
      </c>
      <c r="B94" s="1" t="s">
        <v>192</v>
      </c>
      <c r="C94">
        <v>0</v>
      </c>
      <c r="D94" s="19" t="s">
        <v>16</v>
      </c>
      <c r="E94" s="2" t="s">
        <v>32</v>
      </c>
      <c r="F94" s="19" t="s">
        <v>16</v>
      </c>
      <c r="G94" s="21" t="str">
        <f t="shared" si="180"/>
        <v>N/A</v>
      </c>
      <c r="H94" s="12">
        <f t="shared" si="181"/>
        <v>0</v>
      </c>
      <c r="I94" s="19" t="s">
        <v>16</v>
      </c>
      <c r="J94" s="19" t="s">
        <v>32</v>
      </c>
      <c r="K94" s="19" t="s">
        <v>16</v>
      </c>
      <c r="L94" s="21" t="str">
        <f t="shared" si="182"/>
        <v>N/A</v>
      </c>
      <c r="M94" s="1">
        <v>1</v>
      </c>
      <c r="N94" s="19" t="s">
        <v>517</v>
      </c>
      <c r="O94" s="19" t="s">
        <v>518</v>
      </c>
      <c r="P94" s="19" t="s">
        <v>519</v>
      </c>
      <c r="Q94" s="21" t="str">
        <f t="shared" si="183"/>
        <v xml:space="preserve">no se alertara antes "no se alertara antes" no se alertara antes de la DANA</v>
      </c>
      <c r="R94" s="1">
        <v>0</v>
      </c>
      <c r="S94" s="19" t="s">
        <v>16</v>
      </c>
      <c r="T94" s="19" t="s">
        <v>32</v>
      </c>
      <c r="U94" s="19" t="s">
        <v>16</v>
      </c>
      <c r="V94" s="21" t="str">
        <f t="shared" si="184"/>
        <v>N/A</v>
      </c>
    </row>
    <row r="95" ht="43.5">
      <c r="A95">
        <v>565</v>
      </c>
      <c r="B95" s="1" t="s">
        <v>193</v>
      </c>
      <c r="C95">
        <v>0</v>
      </c>
      <c r="D95" s="19" t="s">
        <v>16</v>
      </c>
      <c r="E95" s="2" t="s">
        <v>194</v>
      </c>
      <c r="F95" s="19" t="s">
        <v>16</v>
      </c>
      <c r="G95" s="21" t="str">
        <f t="shared" si="180"/>
        <v xml:space="preserve">"garaje de los horrores"</v>
      </c>
      <c r="H95" s="12">
        <f t="shared" si="181"/>
        <v>0</v>
      </c>
      <c r="I95" s="19" t="s">
        <v>16</v>
      </c>
      <c r="J95" s="19" t="s">
        <v>32</v>
      </c>
      <c r="K95" s="19" t="s">
        <v>16</v>
      </c>
      <c r="L95" s="21" t="str">
        <f t="shared" si="182"/>
        <v>N/A</v>
      </c>
      <c r="M95" s="1">
        <v>1</v>
      </c>
      <c r="N95" s="19" t="s">
        <v>195</v>
      </c>
      <c r="O95" s="19" t="s">
        <v>32</v>
      </c>
      <c r="P95" s="19" t="s">
        <v>520</v>
      </c>
      <c r="Q95" s="21" t="str">
        <f t="shared" si="183"/>
        <v xml:space="preserve">garaje de los horrores N/A bajaron a por su coche y el agua les arrasó</v>
      </c>
      <c r="R95" s="1">
        <v>0</v>
      </c>
      <c r="S95" s="19" t="s">
        <v>16</v>
      </c>
      <c r="T95" s="19" t="s">
        <v>32</v>
      </c>
      <c r="U95" s="19" t="s">
        <v>16</v>
      </c>
      <c r="V95" s="21" t="str">
        <f t="shared" si="184"/>
        <v>N/A</v>
      </c>
    </row>
    <row r="96" ht="29.100000000000001">
      <c r="A96">
        <v>567</v>
      </c>
      <c r="B96" s="1" t="s">
        <v>196</v>
      </c>
      <c r="C96">
        <v>0</v>
      </c>
      <c r="D96" s="19" t="s">
        <v>16</v>
      </c>
      <c r="E96" s="2" t="s">
        <v>32</v>
      </c>
      <c r="F96" s="19" t="s">
        <v>16</v>
      </c>
      <c r="G96" s="21" t="str">
        <f t="shared" si="180"/>
        <v>N/A</v>
      </c>
      <c r="H96" s="12">
        <f t="shared" si="181"/>
        <v>0</v>
      </c>
      <c r="I96" s="19" t="s">
        <v>521</v>
      </c>
      <c r="J96" s="19" t="s">
        <v>522</v>
      </c>
      <c r="K96" s="19" t="s">
        <v>16</v>
      </c>
      <c r="L96" s="21" t="str">
        <f t="shared" si="182"/>
        <v xml:space="preserve">Cortes de carreteras "Cortes de carreteras"</v>
      </c>
      <c r="M96" s="1">
        <v>0</v>
      </c>
      <c r="N96" s="19" t="s">
        <v>16</v>
      </c>
      <c r="O96" s="19" t="s">
        <v>32</v>
      </c>
      <c r="P96" s="19" t="s">
        <v>16</v>
      </c>
      <c r="Q96" s="21" t="str">
        <f t="shared" si="183"/>
        <v>N/A</v>
      </c>
      <c r="R96" s="1">
        <v>0</v>
      </c>
      <c r="S96" s="19" t="s">
        <v>16</v>
      </c>
      <c r="T96" s="19" t="s">
        <v>32</v>
      </c>
      <c r="U96" s="19" t="s">
        <v>16</v>
      </c>
      <c r="V96" s="21" t="str">
        <f t="shared" si="184"/>
        <v>N/A</v>
      </c>
    </row>
    <row r="97" ht="87">
      <c r="A97">
        <v>570</v>
      </c>
      <c r="B97" s="1" t="s">
        <v>197</v>
      </c>
      <c r="C97">
        <v>0</v>
      </c>
      <c r="D97" s="19" t="s">
        <v>16</v>
      </c>
      <c r="E97" s="2" t="s">
        <v>32</v>
      </c>
      <c r="F97" s="19" t="s">
        <v>16</v>
      </c>
      <c r="G97" s="21" t="str">
        <f t="shared" si="180"/>
        <v>N/A</v>
      </c>
      <c r="H97" s="12">
        <f t="shared" si="181"/>
        <v>0</v>
      </c>
      <c r="I97" s="19" t="s">
        <v>16</v>
      </c>
      <c r="J97" s="19" t="s">
        <v>32</v>
      </c>
      <c r="K97" s="19" t="s">
        <v>16</v>
      </c>
      <c r="L97" s="21" t="str">
        <f t="shared" si="182"/>
        <v>N/A</v>
      </c>
      <c r="M97" s="1">
        <v>1</v>
      </c>
      <c r="N97" s="19" t="s">
        <v>523</v>
      </c>
      <c r="O97" s="19" t="s">
        <v>524</v>
      </c>
      <c r="P97" s="19" t="s">
        <v>16</v>
      </c>
      <c r="Q97" s="21" t="str">
        <f t="shared" si="183"/>
        <v xml:space="preserve">Solo 128 de los más de 17.000 millones aprobados en ayudas han llegado "Solo 128 de los más de 17.000 millones [...] han llegado"</v>
      </c>
      <c r="R97" s="1">
        <v>1</v>
      </c>
      <c r="S97" s="19" t="s">
        <v>16</v>
      </c>
      <c r="T97" s="19" t="s">
        <v>198</v>
      </c>
      <c r="U97" s="19" t="s">
        <v>240</v>
      </c>
      <c r="V97" s="21" t="str">
        <f t="shared" si="184"/>
        <v xml:space="preserve">"lodo de Valencia" Solo 128 de los más de 17.000 millones aprobados en ayudas han llegado ya al lodo de Valencia</v>
      </c>
    </row>
    <row r="98" ht="29.100000000000001">
      <c r="A98">
        <v>571</v>
      </c>
      <c r="B98" s="1" t="s">
        <v>199</v>
      </c>
      <c r="C98">
        <v>0</v>
      </c>
      <c r="D98" s="19" t="s">
        <v>16</v>
      </c>
      <c r="E98" s="2" t="s">
        <v>32</v>
      </c>
      <c r="F98" s="19" t="s">
        <v>16</v>
      </c>
      <c r="G98" s="21" t="str">
        <f t="shared" si="180"/>
        <v>N/A</v>
      </c>
      <c r="H98" s="12">
        <f t="shared" si="181"/>
        <v>0</v>
      </c>
      <c r="I98" s="19" t="s">
        <v>16</v>
      </c>
      <c r="J98" s="19" t="s">
        <v>32</v>
      </c>
      <c r="K98" s="19" t="s">
        <v>16</v>
      </c>
      <c r="L98" s="21" t="str">
        <f t="shared" si="182"/>
        <v>N/A</v>
      </c>
      <c r="M98" s="1">
        <v>0</v>
      </c>
      <c r="N98" s="19" t="s">
        <v>16</v>
      </c>
      <c r="O98" s="19" t="s">
        <v>32</v>
      </c>
      <c r="P98" s="19" t="s">
        <v>16</v>
      </c>
      <c r="Q98" s="21" t="str">
        <f t="shared" si="183"/>
        <v>N/A</v>
      </c>
      <c r="R98" s="1">
        <v>0</v>
      </c>
      <c r="S98" s="19" t="s">
        <v>16</v>
      </c>
      <c r="T98" s="19" t="s">
        <v>32</v>
      </c>
      <c r="U98" s="19" t="s">
        <v>16</v>
      </c>
      <c r="V98" s="21" t="str">
        <f t="shared" si="184"/>
        <v>N/A</v>
      </c>
    </row>
    <row r="99" ht="174">
      <c r="A99">
        <v>575</v>
      </c>
      <c r="B99" s="1" t="s">
        <v>200</v>
      </c>
      <c r="C99">
        <v>0</v>
      </c>
      <c r="D99" s="19" t="s">
        <v>16</v>
      </c>
      <c r="E99" s="2" t="s">
        <v>32</v>
      </c>
      <c r="F99" s="19" t="s">
        <v>16</v>
      </c>
      <c r="G99" s="21" t="str">
        <f t="shared" si="180"/>
        <v>N/A</v>
      </c>
      <c r="H99" s="12">
        <f t="shared" si="181"/>
        <v>0</v>
      </c>
      <c r="I99" s="19" t="s">
        <v>525</v>
      </c>
      <c r="J99" s="19" t="s">
        <v>526</v>
      </c>
      <c r="K99" s="19" t="s">
        <v>211</v>
      </c>
      <c r="L99" s="21" t="str">
        <f t="shared" si="182"/>
        <v xml:space="preserve">trenes cancelados, carreteras cortadas y el puerto cerrado "incomunicada" / "trenes cancelados, carreteras cortadas y el puerto cerrado" Valencia, incomunicada por la DANA: trenes cancelados, carreteras cortadas y el puerto cerrado</v>
      </c>
      <c r="M99" s="1">
        <v>0</v>
      </c>
      <c r="N99" s="19" t="s">
        <v>16</v>
      </c>
      <c r="O99" s="19" t="s">
        <v>32</v>
      </c>
      <c r="P99" s="19" t="s">
        <v>16</v>
      </c>
      <c r="Q99" s="21" t="str">
        <f t="shared" si="183"/>
        <v>N/A</v>
      </c>
      <c r="R99" s="1">
        <v>0</v>
      </c>
      <c r="S99" s="19" t="s">
        <v>16</v>
      </c>
      <c r="T99" s="19" t="s">
        <v>32</v>
      </c>
      <c r="U99" s="19" t="s">
        <v>16</v>
      </c>
      <c r="V99" s="21" t="str">
        <f t="shared" si="184"/>
        <v>N/A</v>
      </c>
    </row>
    <row r="100">
      <c r="A100">
        <v>577</v>
      </c>
      <c r="B100" s="1" t="s">
        <v>201</v>
      </c>
      <c r="C100">
        <v>0</v>
      </c>
      <c r="D100" s="19" t="s">
        <v>16</v>
      </c>
      <c r="E100" s="2" t="s">
        <v>32</v>
      </c>
      <c r="F100" s="19" t="s">
        <v>16</v>
      </c>
      <c r="G100" s="21" t="str">
        <f t="shared" ref="G100:G163" si="185">TRIM(_xlfn.CONCAT(IF(D100="N/A","",D100&amp;" "),IF(E100="N/A","",E100&amp;" "),IF(OR(F100="N/A",F100=D100),"",F100&amp;" ")))</f>
        <v>N/A</v>
      </c>
      <c r="H100" s="12">
        <f t="shared" ref="H100:H163" si="186">IF(SUM(E100,F100,G100)&gt;=2,1,0)</f>
        <v>0</v>
      </c>
      <c r="I100" s="19" t="s">
        <v>16</v>
      </c>
      <c r="J100" s="19" t="s">
        <v>32</v>
      </c>
      <c r="K100" s="19" t="s">
        <v>16</v>
      </c>
      <c r="L100" s="21" t="str">
        <f t="shared" ref="L100:L163" si="187">TRIM(_xlfn.CONCAT(IF(I100="N/A","",I100&amp;" "),IF(J100="N/A","",J100&amp;" "),IF(OR(K100="N/A",K100=I100),"",K100&amp;" ")))</f>
        <v>N/A</v>
      </c>
      <c r="M100" s="1">
        <v>1</v>
      </c>
      <c r="N100" s="19" t="s">
        <v>203</v>
      </c>
      <c r="O100" s="19" t="s">
        <v>32</v>
      </c>
      <c r="P100" s="19" t="s">
        <v>203</v>
      </c>
      <c r="Q100" s="21" t="str">
        <f t="shared" ref="Q100:Q163" si="188">TRIM(_xlfn.CONCAT(IF(N100="N/A","",N100&amp;" "),IF(O100="N/A","",O100&amp;" "),IF(OR(P100="N/A",P100=N100),"",P100&amp;" ")))</f>
        <v xml:space="preserve">rescates 'in extremis' N/A</v>
      </c>
      <c r="R100" s="1">
        <v>0</v>
      </c>
      <c r="S100" s="19" t="s">
        <v>16</v>
      </c>
      <c r="T100" s="19" t="s">
        <v>32</v>
      </c>
      <c r="U100" s="19" t="s">
        <v>16</v>
      </c>
      <c r="V100" s="21" t="str">
        <f t="shared" ref="V100:V163" si="189">TRIM(_xlfn.CONCAT(IF(S100="N/A","",S100&amp;" "),IF(T100="N/A","",T100&amp;" "),IF(OR(U100="N/A",U100=S100),"",U100&amp;" ")))</f>
        <v>N/A</v>
      </c>
    </row>
    <row r="101" ht="29.100000000000001">
      <c r="A101">
        <v>586</v>
      </c>
      <c r="B101" s="1" t="s">
        <v>204</v>
      </c>
      <c r="C101">
        <v>0</v>
      </c>
      <c r="D101" s="19" t="s">
        <v>16</v>
      </c>
      <c r="E101" s="2" t="s">
        <v>32</v>
      </c>
      <c r="F101" s="19" t="s">
        <v>16</v>
      </c>
      <c r="G101" s="21" t="str">
        <f t="shared" si="185"/>
        <v>N/A</v>
      </c>
      <c r="H101" s="12">
        <f t="shared" si="186"/>
        <v>0</v>
      </c>
      <c r="I101" s="19" t="s">
        <v>16</v>
      </c>
      <c r="J101" s="19" t="s">
        <v>32</v>
      </c>
      <c r="K101" s="19" t="s">
        <v>16</v>
      </c>
      <c r="L101" s="21" t="str">
        <f t="shared" si="187"/>
        <v>N/A</v>
      </c>
      <c r="M101" s="1">
        <v>0</v>
      </c>
      <c r="N101" s="19" t="s">
        <v>16</v>
      </c>
      <c r="O101" s="19" t="s">
        <v>527</v>
      </c>
      <c r="P101" s="19" t="s">
        <v>16</v>
      </c>
      <c r="Q101" s="21" t="str">
        <f t="shared" si="188"/>
        <v xml:space="preserve">"avisó hasta con cinco días de antelación"</v>
      </c>
      <c r="R101" s="1">
        <v>0</v>
      </c>
      <c r="S101" s="19" t="s">
        <v>16</v>
      </c>
      <c r="T101" s="19" t="s">
        <v>32</v>
      </c>
      <c r="U101" s="19" t="s">
        <v>16</v>
      </c>
      <c r="V101" s="21" t="str">
        <f t="shared" si="189"/>
        <v>N/A</v>
      </c>
    </row>
    <row r="102" ht="57.950000000000003">
      <c r="A102">
        <v>600</v>
      </c>
      <c r="B102" s="1" t="s">
        <v>205</v>
      </c>
      <c r="C102">
        <v>1</v>
      </c>
      <c r="D102" s="19" t="s">
        <v>180</v>
      </c>
      <c r="E102" s="2" t="s">
        <v>528</v>
      </c>
      <c r="F102" s="19" t="s">
        <v>529</v>
      </c>
      <c r="G102" s="21" t="str">
        <f t="shared" si="185"/>
        <v xml:space="preserve">la peor gota fría del siglo XXI "peor gota fría del siglo XXI" Es la peor gota fría del siglo XXI</v>
      </c>
      <c r="H102" s="12">
        <f t="shared" si="186"/>
        <v>0</v>
      </c>
      <c r="I102" s="19" t="s">
        <v>16</v>
      </c>
      <c r="J102" s="19" t="s">
        <v>32</v>
      </c>
      <c r="K102" s="19" t="s">
        <v>16</v>
      </c>
      <c r="L102" s="21" t="str">
        <f t="shared" si="187"/>
        <v>N/A</v>
      </c>
      <c r="M102" s="1">
        <v>0</v>
      </c>
      <c r="N102" s="19" t="s">
        <v>16</v>
      </c>
      <c r="O102" s="19" t="s">
        <v>32</v>
      </c>
      <c r="P102" s="19" t="s">
        <v>16</v>
      </c>
      <c r="Q102" s="21" t="str">
        <f t="shared" si="188"/>
        <v>N/A</v>
      </c>
      <c r="R102" s="1">
        <v>0</v>
      </c>
      <c r="S102" s="19" t="s">
        <v>16</v>
      </c>
      <c r="T102" s="19" t="s">
        <v>32</v>
      </c>
      <c r="U102" s="19" t="s">
        <v>16</v>
      </c>
      <c r="V102" s="21" t="str">
        <f t="shared" si="189"/>
        <v>N/A</v>
      </c>
    </row>
    <row r="103" ht="29.100000000000001">
      <c r="A103">
        <v>601</v>
      </c>
      <c r="B103" s="1" t="s">
        <v>207</v>
      </c>
      <c r="C103">
        <v>0</v>
      </c>
      <c r="D103" s="19" t="s">
        <v>16</v>
      </c>
      <c r="E103" s="2" t="s">
        <v>32</v>
      </c>
      <c r="F103" s="19" t="s">
        <v>16</v>
      </c>
      <c r="G103" s="21" t="str">
        <f t="shared" si="185"/>
        <v>N/A</v>
      </c>
      <c r="H103" s="12">
        <f t="shared" si="186"/>
        <v>0</v>
      </c>
      <c r="I103" s="19" t="s">
        <v>530</v>
      </c>
      <c r="J103" s="19" t="s">
        <v>32</v>
      </c>
      <c r="K103" s="19" t="s">
        <v>16</v>
      </c>
      <c r="L103" s="21" t="str">
        <f t="shared" si="187"/>
        <v xml:space="preserve">graves inundaciones N/A</v>
      </c>
      <c r="M103" s="1">
        <v>0</v>
      </c>
      <c r="N103" s="19" t="s">
        <v>16</v>
      </c>
      <c r="O103" s="19" t="s">
        <v>32</v>
      </c>
      <c r="P103" s="19" t="s">
        <v>16</v>
      </c>
      <c r="Q103" s="21" t="str">
        <f t="shared" si="188"/>
        <v>N/A</v>
      </c>
      <c r="R103" s="1">
        <v>1</v>
      </c>
      <c r="S103" s="19" t="s">
        <v>531</v>
      </c>
      <c r="T103" s="19" t="s">
        <v>532</v>
      </c>
      <c r="U103" s="19" t="s">
        <v>531</v>
      </c>
      <c r="V103" s="21" t="str">
        <f t="shared" si="189"/>
        <v xml:space="preserve">se acerca a Aragón "se acerca a Aragón"</v>
      </c>
    </row>
    <row r="104" ht="29.100000000000001">
      <c r="A104">
        <v>608</v>
      </c>
      <c r="B104" s="1" t="s">
        <v>210</v>
      </c>
      <c r="C104">
        <v>0</v>
      </c>
      <c r="D104" s="19" t="s">
        <v>16</v>
      </c>
      <c r="E104" s="2" t="s">
        <v>32</v>
      </c>
      <c r="F104" s="19" t="s">
        <v>16</v>
      </c>
      <c r="G104" s="21" t="str">
        <f t="shared" si="185"/>
        <v>N/A</v>
      </c>
      <c r="H104" s="12">
        <f t="shared" si="186"/>
        <v>0</v>
      </c>
      <c r="I104" s="19" t="s">
        <v>16</v>
      </c>
      <c r="J104" s="19" t="s">
        <v>32</v>
      </c>
      <c r="K104" s="19" t="s">
        <v>16</v>
      </c>
      <c r="L104" s="21" t="str">
        <f t="shared" si="187"/>
        <v>N/A</v>
      </c>
      <c r="M104" s="1">
        <v>0</v>
      </c>
      <c r="N104" s="19" t="s">
        <v>16</v>
      </c>
      <c r="O104" s="19" t="s">
        <v>32</v>
      </c>
      <c r="P104" s="19" t="s">
        <v>16</v>
      </c>
      <c r="Q104" s="21" t="str">
        <f t="shared" si="188"/>
        <v>N/A</v>
      </c>
      <c r="R104" s="1">
        <v>0</v>
      </c>
      <c r="S104" s="19" t="s">
        <v>16</v>
      </c>
      <c r="T104" s="19" t="s">
        <v>533</v>
      </c>
      <c r="U104" s="19" t="s">
        <v>16</v>
      </c>
      <c r="V104" s="21" t="str">
        <f t="shared" si="189"/>
        <v xml:space="preserve">"podrán recuperar el dinero"</v>
      </c>
    </row>
    <row r="105">
      <c r="A105">
        <v>609</v>
      </c>
      <c r="B105" s="1" t="s">
        <v>211</v>
      </c>
      <c r="C105">
        <v>0</v>
      </c>
      <c r="D105" s="19" t="s">
        <v>16</v>
      </c>
      <c r="E105" s="2" t="s">
        <v>32</v>
      </c>
      <c r="F105" s="19" t="s">
        <v>16</v>
      </c>
      <c r="G105" s="21" t="str">
        <f t="shared" si="185"/>
        <v>N/A</v>
      </c>
      <c r="H105" s="12">
        <f t="shared" si="186"/>
        <v>0</v>
      </c>
      <c r="I105" s="19" t="s">
        <v>16</v>
      </c>
      <c r="J105" s="19" t="s">
        <v>32</v>
      </c>
      <c r="K105" s="19" t="s">
        <v>16</v>
      </c>
      <c r="L105" s="21" t="str">
        <f t="shared" si="187"/>
        <v>N/A</v>
      </c>
      <c r="M105" s="1">
        <v>0</v>
      </c>
      <c r="N105" s="19" t="s">
        <v>16</v>
      </c>
      <c r="O105" s="19" t="s">
        <v>32</v>
      </c>
      <c r="P105" s="19" t="s">
        <v>16</v>
      </c>
      <c r="Q105" s="21" t="str">
        <f t="shared" si="188"/>
        <v>N/A</v>
      </c>
      <c r="R105" s="1">
        <v>0</v>
      </c>
      <c r="S105" s="19" t="s">
        <v>16</v>
      </c>
      <c r="T105" s="19" t="s">
        <v>32</v>
      </c>
      <c r="U105" s="19" t="s">
        <v>16</v>
      </c>
      <c r="V105" s="21" t="str">
        <f t="shared" si="189"/>
        <v>N/A</v>
      </c>
    </row>
    <row r="106" ht="72.599999999999994">
      <c r="A106">
        <v>610</v>
      </c>
      <c r="B106" s="1" t="s">
        <v>212</v>
      </c>
      <c r="C106">
        <v>0</v>
      </c>
      <c r="D106" s="19" t="s">
        <v>16</v>
      </c>
      <c r="E106" s="2" t="s">
        <v>32</v>
      </c>
      <c r="F106" s="19" t="s">
        <v>16</v>
      </c>
      <c r="G106" s="21" t="str">
        <f t="shared" si="185"/>
        <v>N/A</v>
      </c>
      <c r="H106" s="12">
        <f t="shared" si="186"/>
        <v>0</v>
      </c>
      <c r="I106" s="19" t="s">
        <v>16</v>
      </c>
      <c r="J106" s="19" t="s">
        <v>32</v>
      </c>
      <c r="K106" s="19" t="s">
        <v>16</v>
      </c>
      <c r="L106" s="21" t="str">
        <f t="shared" si="187"/>
        <v>N/A</v>
      </c>
      <c r="M106" s="1">
        <v>1</v>
      </c>
      <c r="N106" s="19" t="s">
        <v>534</v>
      </c>
      <c r="O106" s="19" t="s">
        <v>535</v>
      </c>
      <c r="P106" s="19" t="s">
        <v>536</v>
      </c>
      <c r="Q106" s="21" t="str">
        <f t="shared" si="188"/>
        <v xml:space="preserve">la alerta llegó a las 20h "alerta llegó a las 20h" El primer aviso rojo de la AEMET se aplicó a las 7:30 y la alerta llegó a las 20h</v>
      </c>
      <c r="R106" s="1">
        <v>0</v>
      </c>
      <c r="S106" s="19" t="s">
        <v>16</v>
      </c>
      <c r="T106" s="19" t="s">
        <v>32</v>
      </c>
      <c r="U106" s="19" t="s">
        <v>16</v>
      </c>
      <c r="V106" s="21" t="str">
        <f t="shared" si="189"/>
        <v>N/A</v>
      </c>
    </row>
    <row r="107">
      <c r="A107">
        <v>614</v>
      </c>
      <c r="B107" s="1" t="s">
        <v>213</v>
      </c>
      <c r="C107">
        <v>0</v>
      </c>
      <c r="D107" s="19" t="s">
        <v>16</v>
      </c>
      <c r="E107" s="2" t="s">
        <v>32</v>
      </c>
      <c r="F107" s="19" t="s">
        <v>16</v>
      </c>
      <c r="G107" s="21" t="str">
        <f t="shared" si="185"/>
        <v>N/A</v>
      </c>
      <c r="H107" s="12">
        <f t="shared" si="186"/>
        <v>0</v>
      </c>
      <c r="I107" s="19" t="s">
        <v>16</v>
      </c>
      <c r="J107" s="19" t="s">
        <v>32</v>
      </c>
      <c r="K107" s="19" t="s">
        <v>16</v>
      </c>
      <c r="L107" s="21" t="str">
        <f t="shared" si="187"/>
        <v>N/A</v>
      </c>
      <c r="M107" s="1">
        <v>0</v>
      </c>
      <c r="N107" s="19" t="s">
        <v>16</v>
      </c>
      <c r="O107" s="19" t="s">
        <v>32</v>
      </c>
      <c r="P107" s="19" t="s">
        <v>16</v>
      </c>
      <c r="Q107" s="21" t="str">
        <f t="shared" si="188"/>
        <v>N/A</v>
      </c>
      <c r="R107" s="1">
        <v>0</v>
      </c>
      <c r="S107" s="19" t="s">
        <v>16</v>
      </c>
      <c r="T107" s="19" t="s">
        <v>537</v>
      </c>
      <c r="U107" s="19" t="s">
        <v>16</v>
      </c>
      <c r="V107" s="21" t="str">
        <f t="shared" si="189"/>
        <v xml:space="preserve">"volverán a las zonas"</v>
      </c>
    </row>
    <row r="108" ht="29.100000000000001">
      <c r="A108">
        <v>617</v>
      </c>
      <c r="B108" s="1" t="s">
        <v>214</v>
      </c>
      <c r="C108">
        <v>0</v>
      </c>
      <c r="D108" s="19" t="s">
        <v>16</v>
      </c>
      <c r="E108" s="2" t="s">
        <v>32</v>
      </c>
      <c r="F108" s="19" t="s">
        <v>16</v>
      </c>
      <c r="G108" s="21" t="str">
        <f t="shared" si="185"/>
        <v>N/A</v>
      </c>
      <c r="H108" s="12">
        <f t="shared" si="186"/>
        <v>0</v>
      </c>
      <c r="I108" s="19" t="s">
        <v>16</v>
      </c>
      <c r="J108" s="19" t="s">
        <v>32</v>
      </c>
      <c r="K108" s="19" t="s">
        <v>16</v>
      </c>
      <c r="L108" s="21" t="str">
        <f t="shared" si="187"/>
        <v>N/A</v>
      </c>
      <c r="M108" s="1">
        <v>0</v>
      </c>
      <c r="N108" s="19" t="s">
        <v>16</v>
      </c>
      <c r="O108" s="19" t="s">
        <v>538</v>
      </c>
      <c r="P108" s="19" t="s">
        <v>16</v>
      </c>
      <c r="Q108" s="21" t="str">
        <f t="shared" si="188"/>
        <v xml:space="preserve">"centros de recogida de ayuda"</v>
      </c>
      <c r="R108" s="1">
        <v>0</v>
      </c>
      <c r="S108" s="19" t="s">
        <v>16</v>
      </c>
      <c r="T108" s="19" t="s">
        <v>32</v>
      </c>
      <c r="U108" s="19" t="s">
        <v>16</v>
      </c>
      <c r="V108" s="21" t="str">
        <f t="shared" si="189"/>
        <v>N/A</v>
      </c>
    </row>
    <row r="109" ht="29.100000000000001">
      <c r="A109">
        <v>622</v>
      </c>
      <c r="B109" s="1" t="s">
        <v>216</v>
      </c>
      <c r="C109">
        <v>0</v>
      </c>
      <c r="D109" s="19" t="s">
        <v>16</v>
      </c>
      <c r="E109" s="2" t="s">
        <v>184</v>
      </c>
      <c r="F109" s="19" t="s">
        <v>16</v>
      </c>
      <c r="G109" s="21" t="str">
        <f t="shared" si="185"/>
        <v>"tragedia"</v>
      </c>
      <c r="H109" s="12">
        <f t="shared" si="186"/>
        <v>0</v>
      </c>
      <c r="I109" s="19" t="s">
        <v>16</v>
      </c>
      <c r="J109" s="19" t="s">
        <v>32</v>
      </c>
      <c r="K109" s="19" t="s">
        <v>16</v>
      </c>
      <c r="L109" s="21" t="str">
        <f t="shared" si="187"/>
        <v>N/A</v>
      </c>
      <c r="M109" s="1">
        <v>0</v>
      </c>
      <c r="N109" s="19" t="s">
        <v>16</v>
      </c>
      <c r="O109" s="19" t="s">
        <v>539</v>
      </c>
      <c r="P109" s="19" t="s">
        <v>16</v>
      </c>
      <c r="Q109" s="21" t="str">
        <f t="shared" si="188"/>
        <v xml:space="preserve">"trabajo de la Cruz Roja"</v>
      </c>
      <c r="R109" s="1">
        <v>0</v>
      </c>
      <c r="S109" s="19" t="s">
        <v>16</v>
      </c>
      <c r="T109" s="19" t="s">
        <v>32</v>
      </c>
      <c r="U109" s="19" t="s">
        <v>16</v>
      </c>
      <c r="V109" s="21" t="str">
        <f t="shared" si="189"/>
        <v>N/A</v>
      </c>
    </row>
    <row r="110" ht="43.5">
      <c r="A110">
        <v>629</v>
      </c>
      <c r="B110" s="1" t="s">
        <v>217</v>
      </c>
      <c r="C110">
        <v>1</v>
      </c>
      <c r="D110" s="19" t="s">
        <v>219</v>
      </c>
      <c r="E110" s="2" t="s">
        <v>218</v>
      </c>
      <c r="F110" s="19" t="s">
        <v>219</v>
      </c>
      <c r="G110" s="21" t="str">
        <f t="shared" si="185"/>
        <v xml:space="preserve">día negro en la historia de Valencia "día negro en la historia"</v>
      </c>
      <c r="H110" s="12">
        <f t="shared" si="186"/>
        <v>0</v>
      </c>
      <c r="I110" s="19" t="s">
        <v>16</v>
      </c>
      <c r="J110" s="19" t="s">
        <v>32</v>
      </c>
      <c r="K110" s="19" t="s">
        <v>16</v>
      </c>
      <c r="L110" s="21" t="str">
        <f t="shared" si="187"/>
        <v>N/A</v>
      </c>
      <c r="M110" s="1">
        <v>0</v>
      </c>
      <c r="N110" s="19" t="s">
        <v>16</v>
      </c>
      <c r="O110" s="19" t="s">
        <v>540</v>
      </c>
      <c r="P110" s="19" t="s">
        <v>16</v>
      </c>
      <c r="Q110" s="21" t="str">
        <f t="shared" si="188"/>
        <v xml:space="preserve">"alerta de las 20:12"</v>
      </c>
      <c r="R110" s="1">
        <v>0</v>
      </c>
      <c r="S110" s="19" t="s">
        <v>16</v>
      </c>
      <c r="T110" s="19" t="s">
        <v>32</v>
      </c>
      <c r="U110" s="19" t="s">
        <v>16</v>
      </c>
      <c r="V110" s="21" t="str">
        <f t="shared" si="189"/>
        <v>N/A</v>
      </c>
    </row>
    <row r="111" ht="43.5">
      <c r="A111">
        <v>635</v>
      </c>
      <c r="B111" s="1" t="s">
        <v>220</v>
      </c>
      <c r="C111">
        <v>0</v>
      </c>
      <c r="D111" s="19" t="s">
        <v>16</v>
      </c>
      <c r="E111" s="2" t="s">
        <v>541</v>
      </c>
      <c r="F111" s="19" t="s">
        <v>16</v>
      </c>
      <c r="G111" s="21" t="str">
        <f t="shared" si="185"/>
        <v>"ratonera"</v>
      </c>
      <c r="H111" s="12">
        <f t="shared" si="186"/>
        <v>0</v>
      </c>
      <c r="I111" s="19" t="s">
        <v>16</v>
      </c>
      <c r="J111" s="19" t="s">
        <v>542</v>
      </c>
      <c r="K111" s="19" t="s">
        <v>16</v>
      </c>
      <c r="L111" s="21" t="str">
        <f t="shared" si="187"/>
        <v xml:space="preserve">"no podemos salir"</v>
      </c>
      <c r="M111" s="1">
        <v>1</v>
      </c>
      <c r="N111" s="19" t="s">
        <v>543</v>
      </c>
      <c r="O111" s="19" t="s">
        <v>32</v>
      </c>
      <c r="P111" s="19" t="s">
        <v>222</v>
      </c>
      <c r="Q111" s="21" t="str">
        <f t="shared" si="188"/>
        <v xml:space="preserve">no podemos salir N/A Esto es una ratonera, no podemos salir</v>
      </c>
      <c r="R111" s="1">
        <v>0</v>
      </c>
      <c r="S111" s="19" t="s">
        <v>16</v>
      </c>
      <c r="T111" s="19" t="s">
        <v>32</v>
      </c>
      <c r="U111" s="19" t="s">
        <v>16</v>
      </c>
      <c r="V111" s="21" t="str">
        <f t="shared" si="189"/>
        <v>N/A</v>
      </c>
    </row>
    <row r="112">
      <c r="A112">
        <v>658</v>
      </c>
      <c r="B112" s="1" t="s">
        <v>223</v>
      </c>
      <c r="C112">
        <v>0</v>
      </c>
      <c r="D112" s="19" t="s">
        <v>16</v>
      </c>
      <c r="E112" s="2" t="s">
        <v>32</v>
      </c>
      <c r="F112" s="19" t="s">
        <v>16</v>
      </c>
      <c r="G112" s="21" t="str">
        <f t="shared" si="185"/>
        <v>N/A</v>
      </c>
      <c r="H112" s="12">
        <f t="shared" si="186"/>
        <v>0</v>
      </c>
      <c r="I112" s="19" t="s">
        <v>16</v>
      </c>
      <c r="J112" s="19" t="s">
        <v>32</v>
      </c>
      <c r="K112" s="19" t="s">
        <v>16</v>
      </c>
      <c r="L112" s="21" t="str">
        <f t="shared" si="187"/>
        <v>N/A</v>
      </c>
      <c r="M112" s="1">
        <v>0</v>
      </c>
      <c r="N112" s="19" t="s">
        <v>16</v>
      </c>
      <c r="O112" s="19" t="s">
        <v>32</v>
      </c>
      <c r="P112" s="19" t="s">
        <v>16</v>
      </c>
      <c r="Q112" s="21" t="str">
        <f t="shared" si="188"/>
        <v>N/A</v>
      </c>
      <c r="R112" s="1">
        <v>0</v>
      </c>
      <c r="S112" s="19" t="s">
        <v>16</v>
      </c>
      <c r="T112" s="19" t="s">
        <v>32</v>
      </c>
      <c r="U112" s="19" t="s">
        <v>16</v>
      </c>
      <c r="V112" s="21" t="str">
        <f t="shared" si="189"/>
        <v>N/A</v>
      </c>
    </row>
    <row r="113" ht="29.100000000000001">
      <c r="A113">
        <v>667</v>
      </c>
      <c r="B113" s="1" t="s">
        <v>224</v>
      </c>
      <c r="C113">
        <v>0</v>
      </c>
      <c r="D113" s="19" t="s">
        <v>16</v>
      </c>
      <c r="E113" s="2" t="s">
        <v>32</v>
      </c>
      <c r="F113" s="19" t="s">
        <v>16</v>
      </c>
      <c r="G113" s="21" t="str">
        <f t="shared" si="185"/>
        <v>N/A</v>
      </c>
      <c r="H113" s="12">
        <f t="shared" si="186"/>
        <v>0</v>
      </c>
      <c r="I113" s="19" t="s">
        <v>16</v>
      </c>
      <c r="J113" s="19" t="s">
        <v>32</v>
      </c>
      <c r="K113" s="19" t="s">
        <v>16</v>
      </c>
      <c r="L113" s="21" t="str">
        <f t="shared" si="187"/>
        <v>N/A</v>
      </c>
      <c r="M113" s="1">
        <v>0</v>
      </c>
      <c r="N113" s="19" t="s">
        <v>16</v>
      </c>
      <c r="O113" s="19" t="s">
        <v>544</v>
      </c>
      <c r="P113" s="19" t="s">
        <v>16</v>
      </c>
      <c r="Q113" s="21" t="str">
        <f t="shared" si="188"/>
        <v xml:space="preserve">"acude a Valencia a ayudar"</v>
      </c>
      <c r="R113" s="1">
        <v>0</v>
      </c>
      <c r="S113" s="19" t="s">
        <v>16</v>
      </c>
      <c r="T113" s="19" t="s">
        <v>32</v>
      </c>
      <c r="U113" s="19" t="s">
        <v>16</v>
      </c>
      <c r="V113" s="21" t="str">
        <f t="shared" si="189"/>
        <v>N/A</v>
      </c>
    </row>
    <row r="114">
      <c r="A114">
        <v>671</v>
      </c>
      <c r="B114" s="1" t="s">
        <v>225</v>
      </c>
      <c r="C114">
        <v>0</v>
      </c>
      <c r="D114" s="19" t="s">
        <v>16</v>
      </c>
      <c r="E114" s="2" t="s">
        <v>32</v>
      </c>
      <c r="F114" s="19" t="s">
        <v>16</v>
      </c>
      <c r="G114" s="21" t="str">
        <f t="shared" si="185"/>
        <v>N/A</v>
      </c>
      <c r="H114" s="12">
        <f t="shared" si="186"/>
        <v>0</v>
      </c>
      <c r="I114" s="19" t="s">
        <v>16</v>
      </c>
      <c r="J114" s="19" t="s">
        <v>32</v>
      </c>
      <c r="K114" s="19" t="s">
        <v>16</v>
      </c>
      <c r="L114" s="21" t="str">
        <f t="shared" si="187"/>
        <v>N/A</v>
      </c>
      <c r="M114" s="1">
        <v>0</v>
      </c>
      <c r="N114" s="19" t="s">
        <v>16</v>
      </c>
      <c r="O114" s="19" t="s">
        <v>32</v>
      </c>
      <c r="P114" s="19" t="s">
        <v>16</v>
      </c>
      <c r="Q114" s="21" t="str">
        <f t="shared" si="188"/>
        <v>N/A</v>
      </c>
      <c r="R114" s="1">
        <v>0</v>
      </c>
      <c r="S114" s="19" t="s">
        <v>16</v>
      </c>
      <c r="T114" s="19" t="s">
        <v>32</v>
      </c>
      <c r="U114" s="19" t="s">
        <v>16</v>
      </c>
      <c r="V114" s="21" t="str">
        <f t="shared" si="189"/>
        <v>N/A</v>
      </c>
    </row>
    <row r="115" ht="29.100000000000001">
      <c r="A115">
        <v>673</v>
      </c>
      <c r="B115" s="1" t="s">
        <v>226</v>
      </c>
      <c r="C115">
        <v>0</v>
      </c>
      <c r="D115" s="19" t="s">
        <v>16</v>
      </c>
      <c r="E115" s="2" t="s">
        <v>32</v>
      </c>
      <c r="F115" s="19" t="s">
        <v>16</v>
      </c>
      <c r="G115" s="21" t="str">
        <f t="shared" si="185"/>
        <v>N/A</v>
      </c>
      <c r="H115" s="12">
        <f t="shared" si="186"/>
        <v>0</v>
      </c>
      <c r="I115" s="19" t="s">
        <v>16</v>
      </c>
      <c r="J115" s="19" t="s">
        <v>32</v>
      </c>
      <c r="K115" s="19" t="s">
        <v>16</v>
      </c>
      <c r="L115" s="21" t="str">
        <f t="shared" si="187"/>
        <v>N/A</v>
      </c>
      <c r="M115" s="1">
        <v>0</v>
      </c>
      <c r="N115" s="19" t="s">
        <v>16</v>
      </c>
      <c r="O115" s="19" t="s">
        <v>32</v>
      </c>
      <c r="P115" s="19" t="s">
        <v>16</v>
      </c>
      <c r="Q115" s="21" t="str">
        <f t="shared" si="188"/>
        <v>N/A</v>
      </c>
      <c r="R115" s="1">
        <v>0</v>
      </c>
      <c r="S115" s="19" t="s">
        <v>16</v>
      </c>
      <c r="T115" s="19" t="s">
        <v>32</v>
      </c>
      <c r="U115" s="19" t="s">
        <v>16</v>
      </c>
      <c r="V115" s="21" t="str">
        <f t="shared" si="189"/>
        <v>N/A</v>
      </c>
    </row>
    <row r="116" ht="57.950000000000003">
      <c r="A116">
        <v>674</v>
      </c>
      <c r="B116" s="1" t="s">
        <v>227</v>
      </c>
      <c r="C116">
        <v>0</v>
      </c>
      <c r="D116" s="19" t="s">
        <v>16</v>
      </c>
      <c r="E116" s="2" t="s">
        <v>32</v>
      </c>
      <c r="F116" s="19" t="s">
        <v>16</v>
      </c>
      <c r="G116" s="21" t="str">
        <f t="shared" si="185"/>
        <v>N/A</v>
      </c>
      <c r="H116" s="12">
        <f t="shared" si="186"/>
        <v>0</v>
      </c>
      <c r="I116" s="19" t="s">
        <v>16</v>
      </c>
      <c r="J116" s="19" t="s">
        <v>32</v>
      </c>
      <c r="K116" s="19" t="s">
        <v>16</v>
      </c>
      <c r="L116" s="21" t="str">
        <f t="shared" si="187"/>
        <v>N/A</v>
      </c>
      <c r="M116" s="1">
        <v>1</v>
      </c>
      <c r="N116" s="19" t="s">
        <v>16</v>
      </c>
      <c r="O116" s="19" t="s">
        <v>545</v>
      </c>
      <c r="P116" s="19" t="s">
        <v>546</v>
      </c>
      <c r="Q116" s="21" t="str">
        <f t="shared" si="188"/>
        <v xml:space="preserve">"horas antes de recibir órdenes oficiales" horas antes de recibir órdenes oficiales</v>
      </c>
      <c r="R116" s="1">
        <v>0</v>
      </c>
      <c r="S116" s="19" t="s">
        <v>16</v>
      </c>
      <c r="T116" s="19" t="s">
        <v>32</v>
      </c>
      <c r="U116" s="19" t="s">
        <v>16</v>
      </c>
      <c r="V116" s="21" t="str">
        <f t="shared" si="189"/>
        <v>N/A</v>
      </c>
    </row>
    <row r="117">
      <c r="A117">
        <v>675</v>
      </c>
      <c r="B117" s="1" t="s">
        <v>229</v>
      </c>
      <c r="C117">
        <v>0</v>
      </c>
      <c r="D117" s="19" t="s">
        <v>16</v>
      </c>
      <c r="E117" s="2" t="s">
        <v>32</v>
      </c>
      <c r="F117" s="19" t="s">
        <v>16</v>
      </c>
      <c r="G117" s="21" t="str">
        <f t="shared" si="185"/>
        <v>N/A</v>
      </c>
      <c r="H117" s="12">
        <f t="shared" si="186"/>
        <v>0</v>
      </c>
      <c r="I117" s="19" t="s">
        <v>16</v>
      </c>
      <c r="J117" s="19" t="s">
        <v>32</v>
      </c>
      <c r="K117" s="19" t="s">
        <v>16</v>
      </c>
      <c r="L117" s="21" t="str">
        <f t="shared" si="187"/>
        <v>N/A</v>
      </c>
      <c r="M117" s="1">
        <v>0</v>
      </c>
      <c r="N117" s="19" t="s">
        <v>16</v>
      </c>
      <c r="O117" s="19" t="s">
        <v>32</v>
      </c>
      <c r="P117" s="19" t="s">
        <v>16</v>
      </c>
      <c r="Q117" s="21" t="str">
        <f t="shared" si="188"/>
        <v>N/A</v>
      </c>
      <c r="R117" s="1">
        <v>0</v>
      </c>
      <c r="S117" s="19" t="s">
        <v>16</v>
      </c>
      <c r="T117" s="19" t="s">
        <v>32</v>
      </c>
      <c r="U117" s="19" t="s">
        <v>16</v>
      </c>
      <c r="V117" s="21" t="str">
        <f t="shared" si="189"/>
        <v>N/A</v>
      </c>
    </row>
    <row r="118" ht="57.950000000000003">
      <c r="A118">
        <v>676</v>
      </c>
      <c r="B118" s="1" t="s">
        <v>231</v>
      </c>
      <c r="C118">
        <v>1</v>
      </c>
      <c r="D118" s="19" t="s">
        <v>16</v>
      </c>
      <c r="E118" s="2" t="s">
        <v>232</v>
      </c>
      <c r="F118" s="19" t="s">
        <v>233</v>
      </c>
      <c r="G118" s="21" t="str">
        <f t="shared" si="185"/>
        <v xml:space="preserve">"milagro en plena tragedia" Un milagro en plena tragedia</v>
      </c>
      <c r="H118" s="12">
        <f t="shared" si="186"/>
        <v>0</v>
      </c>
      <c r="I118" s="19" t="s">
        <v>16</v>
      </c>
      <c r="J118" s="19" t="s">
        <v>32</v>
      </c>
      <c r="K118" s="19" t="s">
        <v>16</v>
      </c>
      <c r="L118" s="21" t="str">
        <f t="shared" si="187"/>
        <v>N/A</v>
      </c>
      <c r="M118" s="1">
        <v>1</v>
      </c>
      <c r="N118" s="19" t="s">
        <v>547</v>
      </c>
      <c r="O118" s="19" t="s">
        <v>32</v>
      </c>
      <c r="P118" s="19" t="s">
        <v>548</v>
      </c>
      <c r="Q118" s="21" t="str">
        <f t="shared" si="188"/>
        <v xml:space="preserve">tras pasar tres días en el interior de su coche N/A tres días en el interior de su coche</v>
      </c>
      <c r="R118" s="1">
        <v>0</v>
      </c>
      <c r="S118" s="19" t="s">
        <v>16</v>
      </c>
      <c r="T118" s="19" t="s">
        <v>32</v>
      </c>
      <c r="U118" s="19" t="s">
        <v>16</v>
      </c>
      <c r="V118" s="21" t="str">
        <f t="shared" si="189"/>
        <v>N/A</v>
      </c>
    </row>
    <row r="119" ht="57.950000000000003">
      <c r="A119">
        <v>679</v>
      </c>
      <c r="B119" s="1" t="s">
        <v>234</v>
      </c>
      <c r="C119">
        <v>1</v>
      </c>
      <c r="D119" s="19" t="s">
        <v>230</v>
      </c>
      <c r="E119" s="2" t="s">
        <v>235</v>
      </c>
      <c r="F119" s="19" t="s">
        <v>236</v>
      </c>
      <c r="G119" s="21" t="str">
        <f t="shared" si="185"/>
        <v xml:space="preserve">más extrema del siglo "más extrema del siglo" La DANA más extrema del siglo</v>
      </c>
      <c r="H119" s="12">
        <f t="shared" si="186"/>
        <v>0</v>
      </c>
      <c r="I119" s="19" t="s">
        <v>16</v>
      </c>
      <c r="J119" s="19" t="s">
        <v>32</v>
      </c>
      <c r="K119" s="19" t="s">
        <v>16</v>
      </c>
      <c r="L119" s="21" t="str">
        <f t="shared" si="187"/>
        <v>N/A</v>
      </c>
      <c r="M119" s="1">
        <v>0</v>
      </c>
      <c r="N119" s="19" t="s">
        <v>16</v>
      </c>
      <c r="O119" s="19" t="s">
        <v>32</v>
      </c>
      <c r="P119" s="19" t="s">
        <v>16</v>
      </c>
      <c r="Q119" s="21" t="str">
        <f t="shared" si="188"/>
        <v>N/A</v>
      </c>
      <c r="R119" s="1">
        <v>0</v>
      </c>
      <c r="S119" s="19" t="s">
        <v>16</v>
      </c>
      <c r="T119" s="19" t="s">
        <v>32</v>
      </c>
      <c r="U119" s="19" t="s">
        <v>16</v>
      </c>
      <c r="V119" s="21" t="str">
        <f t="shared" si="189"/>
        <v>N/A</v>
      </c>
    </row>
    <row r="120" ht="72.599999999999994">
      <c r="A120">
        <v>694</v>
      </c>
      <c r="B120" s="1" t="s">
        <v>237</v>
      </c>
      <c r="C120">
        <v>0</v>
      </c>
      <c r="D120" s="19" t="s">
        <v>16</v>
      </c>
      <c r="E120" s="2" t="s">
        <v>32</v>
      </c>
      <c r="F120" s="19" t="s">
        <v>16</v>
      </c>
      <c r="G120" s="21" t="str">
        <f t="shared" si="185"/>
        <v>N/A</v>
      </c>
      <c r="H120" s="12">
        <f t="shared" si="186"/>
        <v>0</v>
      </c>
      <c r="I120" s="19" t="s">
        <v>16</v>
      </c>
      <c r="J120" s="19" t="s">
        <v>32</v>
      </c>
      <c r="K120" s="19" t="s">
        <v>16</v>
      </c>
      <c r="L120" s="21" t="str">
        <f t="shared" si="187"/>
        <v>N/A</v>
      </c>
      <c r="M120" s="1">
        <v>0</v>
      </c>
      <c r="N120" s="19" t="s">
        <v>16</v>
      </c>
      <c r="O120" s="19" t="s">
        <v>32</v>
      </c>
      <c r="P120" s="19" t="s">
        <v>16</v>
      </c>
      <c r="Q120" s="21" t="str">
        <f t="shared" si="188"/>
        <v>N/A</v>
      </c>
      <c r="R120" s="1">
        <v>1</v>
      </c>
      <c r="S120" s="19" t="s">
        <v>239</v>
      </c>
      <c r="T120" s="19" t="s">
        <v>549</v>
      </c>
      <c r="U120" s="19" t="s">
        <v>550</v>
      </c>
      <c r="V120" s="21" t="str">
        <f t="shared" si="189"/>
        <v xml:space="preserve">puede volver a suceder el año que viene "puede volver a suceder el año que viene" Esta desgracia puede volver a suceder el año que viene</v>
      </c>
    </row>
    <row r="121" ht="29.100000000000001">
      <c r="A121">
        <v>699</v>
      </c>
      <c r="B121" s="1" t="s">
        <v>240</v>
      </c>
      <c r="C121">
        <v>0</v>
      </c>
      <c r="D121" s="19" t="s">
        <v>16</v>
      </c>
      <c r="E121" s="2" t="s">
        <v>32</v>
      </c>
      <c r="F121" s="19" t="s">
        <v>16</v>
      </c>
      <c r="G121" s="21" t="str">
        <f t="shared" si="185"/>
        <v>N/A</v>
      </c>
      <c r="H121" s="12">
        <f t="shared" si="186"/>
        <v>0</v>
      </c>
      <c r="I121" s="19" t="s">
        <v>551</v>
      </c>
      <c r="J121" s="19" t="s">
        <v>552</v>
      </c>
      <c r="K121" s="19" t="s">
        <v>16</v>
      </c>
      <c r="L121" s="21" t="str">
        <f t="shared" si="187"/>
        <v xml:space="preserve">un AVE descarriado "AVE descarriado"</v>
      </c>
      <c r="M121" s="1">
        <v>0</v>
      </c>
      <c r="N121" s="19" t="s">
        <v>16</v>
      </c>
      <c r="O121" s="19" t="s">
        <v>32</v>
      </c>
      <c r="P121" s="19" t="s">
        <v>16</v>
      </c>
      <c r="Q121" s="21" t="str">
        <f t="shared" si="188"/>
        <v>N/A</v>
      </c>
      <c r="R121" s="1">
        <v>0</v>
      </c>
      <c r="S121" s="19" t="s">
        <v>16</v>
      </c>
      <c r="T121" s="19" t="s">
        <v>32</v>
      </c>
      <c r="U121" s="19" t="s">
        <v>242</v>
      </c>
      <c r="V121" s="21" t="str">
        <f t="shared" si="189"/>
        <v xml:space="preserve">N/A se cobra la primera víctima</v>
      </c>
    </row>
    <row r="122" ht="43.5">
      <c r="A122">
        <v>703</v>
      </c>
      <c r="B122" s="1" t="s">
        <v>243</v>
      </c>
      <c r="C122">
        <v>0</v>
      </c>
      <c r="D122" s="19" t="s">
        <v>16</v>
      </c>
      <c r="E122" s="2" t="s">
        <v>32</v>
      </c>
      <c r="F122" s="19" t="s">
        <v>16</v>
      </c>
      <c r="G122" s="21" t="str">
        <f t="shared" si="185"/>
        <v>N/A</v>
      </c>
      <c r="H122" s="12">
        <f t="shared" si="186"/>
        <v>0</v>
      </c>
      <c r="I122" s="19" t="s">
        <v>16</v>
      </c>
      <c r="J122" s="19" t="s">
        <v>32</v>
      </c>
      <c r="K122" s="19" t="s">
        <v>16</v>
      </c>
      <c r="L122" s="21" t="str">
        <f t="shared" si="187"/>
        <v>N/A</v>
      </c>
      <c r="M122" s="1">
        <v>1</v>
      </c>
      <c r="N122" s="19" t="s">
        <v>553</v>
      </c>
      <c r="O122" s="19" t="s">
        <v>554</v>
      </c>
      <c r="P122" s="19" t="s">
        <v>555</v>
      </c>
      <c r="Q122" s="21" t="str">
        <f t="shared" si="188"/>
        <v xml:space="preserve">les impidió realizarla "impidió realizarla" la CHJ les impidió realizarla</v>
      </c>
      <c r="R122" s="1">
        <v>0</v>
      </c>
      <c r="S122" s="19" t="s">
        <v>16</v>
      </c>
      <c r="T122" s="19" t="s">
        <v>32</v>
      </c>
      <c r="U122" s="19" t="s">
        <v>16</v>
      </c>
      <c r="V122" s="21" t="str">
        <f t="shared" si="189"/>
        <v>N/A</v>
      </c>
    </row>
    <row r="123">
      <c r="A123">
        <v>713</v>
      </c>
      <c r="B123" s="1" t="s">
        <v>244</v>
      </c>
      <c r="C123">
        <v>0</v>
      </c>
      <c r="D123" s="19" t="s">
        <v>16</v>
      </c>
      <c r="E123" s="2" t="s">
        <v>556</v>
      </c>
      <c r="F123" s="19" t="s">
        <v>16</v>
      </c>
      <c r="G123" s="21" t="str">
        <f t="shared" si="185"/>
        <v xml:space="preserve">"año horrible"</v>
      </c>
      <c r="H123" s="12">
        <f t="shared" si="186"/>
        <v>0</v>
      </c>
      <c r="I123" s="19" t="s">
        <v>16</v>
      </c>
      <c r="J123" s="19" t="s">
        <v>32</v>
      </c>
      <c r="K123" s="19" t="s">
        <v>16</v>
      </c>
      <c r="L123" s="21" t="str">
        <f t="shared" si="187"/>
        <v>N/A</v>
      </c>
      <c r="M123" s="1">
        <v>0</v>
      </c>
      <c r="N123" s="19" t="s">
        <v>16</v>
      </c>
      <c r="O123" s="19" t="s">
        <v>32</v>
      </c>
      <c r="P123" s="19" t="s">
        <v>16</v>
      </c>
      <c r="Q123" s="21" t="str">
        <f t="shared" si="188"/>
        <v>N/A</v>
      </c>
      <c r="R123" s="1">
        <v>0</v>
      </c>
      <c r="S123" s="19" t="s">
        <v>16</v>
      </c>
      <c r="T123" s="19" t="s">
        <v>32</v>
      </c>
      <c r="U123" s="19" t="s">
        <v>16</v>
      </c>
      <c r="V123" s="21" t="str">
        <f t="shared" si="189"/>
        <v>N/A</v>
      </c>
    </row>
    <row r="124" ht="72.599999999999994">
      <c r="A124">
        <v>717</v>
      </c>
      <c r="B124" s="1" t="s">
        <v>247</v>
      </c>
      <c r="C124">
        <v>1</v>
      </c>
      <c r="D124" s="19" t="s">
        <v>557</v>
      </c>
      <c r="E124" s="2" t="s">
        <v>558</v>
      </c>
      <c r="F124" s="19" t="s">
        <v>559</v>
      </c>
      <c r="G124" s="21" t="str">
        <f t="shared" si="185"/>
        <v xml:space="preserve">sin precedentes "sin precedentes" una demanda sin precedentes</v>
      </c>
      <c r="H124" s="12">
        <f t="shared" si="186"/>
        <v>0</v>
      </c>
      <c r="I124" s="19" t="s">
        <v>16</v>
      </c>
      <c r="J124" s="19" t="s">
        <v>560</v>
      </c>
      <c r="K124" s="19" t="s">
        <v>16</v>
      </c>
      <c r="L124" s="21" t="str">
        <f t="shared" si="187"/>
        <v xml:space="preserve">"sustituir 128.000 vehículos"</v>
      </c>
      <c r="M124" s="1">
        <v>0</v>
      </c>
      <c r="N124" s="19" t="s">
        <v>16</v>
      </c>
      <c r="O124" s="19" t="s">
        <v>32</v>
      </c>
      <c r="P124" s="19" t="s">
        <v>16</v>
      </c>
      <c r="Q124" s="21" t="str">
        <f t="shared" si="188"/>
        <v>N/A</v>
      </c>
      <c r="R124" s="1">
        <v>1</v>
      </c>
      <c r="S124" s="19" t="s">
        <v>561</v>
      </c>
      <c r="T124" s="19" t="s">
        <v>562</v>
      </c>
      <c r="U124" s="19" t="s">
        <v>563</v>
      </c>
      <c r="V124" s="21" t="str">
        <f t="shared" si="189"/>
        <v xml:space="preserve">se espera una demanda sin precedentes "espera una demanda" ¿Cómo sustituir 128.000 vehículos afectados por la DANA?</v>
      </c>
    </row>
    <row r="125" ht="29.100000000000001">
      <c r="A125">
        <v>723</v>
      </c>
      <c r="B125" s="1" t="s">
        <v>248</v>
      </c>
      <c r="C125">
        <v>1</v>
      </c>
      <c r="D125" s="19" t="s">
        <v>16</v>
      </c>
      <c r="E125" s="2" t="s">
        <v>249</v>
      </c>
      <c r="F125" s="19" t="s">
        <v>250</v>
      </c>
      <c r="G125" s="21" t="str">
        <f t="shared" si="185"/>
        <v xml:space="preserve">"Milagro" Milagro tras la DANA</v>
      </c>
      <c r="H125" s="12">
        <f t="shared" si="186"/>
        <v>0</v>
      </c>
      <c r="I125" s="19" t="s">
        <v>16</v>
      </c>
      <c r="J125" s="19" t="s">
        <v>32</v>
      </c>
      <c r="K125" s="19" t="s">
        <v>16</v>
      </c>
      <c r="L125" s="21" t="str">
        <f t="shared" si="187"/>
        <v>N/A</v>
      </c>
      <c r="M125" s="1">
        <v>1</v>
      </c>
      <c r="N125" s="19" t="s">
        <v>564</v>
      </c>
      <c r="O125" s="19" t="s">
        <v>32</v>
      </c>
      <c r="P125" s="19" t="s">
        <v>564</v>
      </c>
      <c r="Q125" s="21" t="str">
        <f t="shared" si="188"/>
        <v xml:space="preserve">tres días atrapada en un coche N/A</v>
      </c>
      <c r="R125" s="1">
        <v>0</v>
      </c>
      <c r="S125" s="19" t="s">
        <v>16</v>
      </c>
      <c r="T125" s="19" t="s">
        <v>32</v>
      </c>
      <c r="U125" s="19" t="s">
        <v>16</v>
      </c>
      <c r="V125" s="21" t="str">
        <f t="shared" si="189"/>
        <v>N/A</v>
      </c>
    </row>
    <row r="126">
      <c r="A126">
        <v>737</v>
      </c>
      <c r="B126" s="1" t="s">
        <v>251</v>
      </c>
      <c r="C126">
        <v>0</v>
      </c>
      <c r="D126" s="19" t="s">
        <v>16</v>
      </c>
      <c r="E126" s="2" t="s">
        <v>32</v>
      </c>
      <c r="F126" s="19" t="s">
        <v>16</v>
      </c>
      <c r="G126" s="21" t="str">
        <f t="shared" si="185"/>
        <v>N/A</v>
      </c>
      <c r="H126" s="12">
        <f t="shared" si="186"/>
        <v>0</v>
      </c>
      <c r="I126" s="19" t="s">
        <v>16</v>
      </c>
      <c r="J126" s="19" t="s">
        <v>32</v>
      </c>
      <c r="K126" s="19" t="s">
        <v>16</v>
      </c>
      <c r="L126" s="21" t="str">
        <f t="shared" si="187"/>
        <v>N/A</v>
      </c>
      <c r="M126" s="1">
        <v>0</v>
      </c>
      <c r="N126" s="19" t="s">
        <v>16</v>
      </c>
      <c r="O126" s="19" t="s">
        <v>32</v>
      </c>
      <c r="P126" s="19" t="s">
        <v>16</v>
      </c>
      <c r="Q126" s="21" t="str">
        <f t="shared" si="188"/>
        <v>N/A</v>
      </c>
      <c r="R126" s="1">
        <v>0</v>
      </c>
      <c r="S126" s="19" t="s">
        <v>16</v>
      </c>
      <c r="T126" s="19" t="s">
        <v>32</v>
      </c>
      <c r="U126" s="19" t="s">
        <v>16</v>
      </c>
      <c r="V126" s="21" t="str">
        <f t="shared" si="189"/>
        <v>N/A</v>
      </c>
    </row>
    <row r="127" ht="43.5">
      <c r="A127">
        <v>739</v>
      </c>
      <c r="B127" s="1" t="s">
        <v>252</v>
      </c>
      <c r="C127">
        <v>0</v>
      </c>
      <c r="D127" s="19" t="s">
        <v>16</v>
      </c>
      <c r="E127" s="2" t="s">
        <v>32</v>
      </c>
      <c r="F127" s="19" t="s">
        <v>16</v>
      </c>
      <c r="G127" s="21" t="str">
        <f t="shared" si="185"/>
        <v>N/A</v>
      </c>
      <c r="H127" s="12">
        <f t="shared" si="186"/>
        <v>0</v>
      </c>
      <c r="I127" s="19" t="s">
        <v>16</v>
      </c>
      <c r="J127" s="19" t="s">
        <v>32</v>
      </c>
      <c r="K127" s="19" t="s">
        <v>16</v>
      </c>
      <c r="L127" s="21" t="str">
        <f t="shared" si="187"/>
        <v>N/A</v>
      </c>
      <c r="M127" s="1">
        <v>1</v>
      </c>
      <c r="N127" s="19" t="s">
        <v>565</v>
      </c>
      <c r="O127" s="19" t="s">
        <v>32</v>
      </c>
      <c r="P127" s="19" t="s">
        <v>565</v>
      </c>
      <c r="Q127" s="21" t="str">
        <f t="shared" si="188"/>
        <v xml:space="preserve">No hagan pasar a los niños por más traumas N/A</v>
      </c>
      <c r="R127" s="1">
        <v>0</v>
      </c>
      <c r="S127" s="19" t="s">
        <v>16</v>
      </c>
      <c r="T127" s="19" t="s">
        <v>254</v>
      </c>
      <c r="U127" s="19" t="s">
        <v>16</v>
      </c>
      <c r="V127" s="21" t="str">
        <f t="shared" si="189"/>
        <v xml:space="preserve">"más traumas"</v>
      </c>
    </row>
    <row r="128">
      <c r="A128">
        <v>744</v>
      </c>
      <c r="B128" s="1" t="s">
        <v>255</v>
      </c>
      <c r="C128">
        <v>0</v>
      </c>
      <c r="D128" s="19" t="s">
        <v>16</v>
      </c>
      <c r="E128" s="2" t="s">
        <v>32</v>
      </c>
      <c r="F128" s="19" t="s">
        <v>16</v>
      </c>
      <c r="G128" s="21" t="str">
        <f t="shared" si="185"/>
        <v>N/A</v>
      </c>
      <c r="H128" s="12">
        <f t="shared" si="186"/>
        <v>0</v>
      </c>
      <c r="I128" s="19" t="s">
        <v>16</v>
      </c>
      <c r="J128" s="19" t="s">
        <v>32</v>
      </c>
      <c r="K128" s="19" t="s">
        <v>16</v>
      </c>
      <c r="L128" s="21" t="str">
        <f t="shared" si="187"/>
        <v>N/A</v>
      </c>
      <c r="M128" s="1">
        <v>0</v>
      </c>
      <c r="N128" s="19" t="s">
        <v>16</v>
      </c>
      <c r="O128" s="19" t="s">
        <v>32</v>
      </c>
      <c r="P128" s="19" t="s">
        <v>566</v>
      </c>
      <c r="Q128" s="21" t="str">
        <f t="shared" si="188"/>
        <v xml:space="preserve">N/A Está en peligro</v>
      </c>
      <c r="R128" s="1">
        <v>1</v>
      </c>
      <c r="S128" s="19" t="s">
        <v>566</v>
      </c>
      <c r="T128" s="19" t="s">
        <v>567</v>
      </c>
      <c r="U128" s="19" t="s">
        <v>16</v>
      </c>
      <c r="V128" s="21" t="str">
        <f t="shared" si="189"/>
        <v xml:space="preserve">Está en peligro "Está en peligro"</v>
      </c>
    </row>
    <row r="129" ht="29.100000000000001">
      <c r="A129">
        <v>747</v>
      </c>
      <c r="B129" s="1" t="s">
        <v>258</v>
      </c>
      <c r="C129">
        <v>0</v>
      </c>
      <c r="D129" s="19" t="s">
        <v>16</v>
      </c>
      <c r="E129" s="2" t="s">
        <v>32</v>
      </c>
      <c r="F129" s="19" t="s">
        <v>16</v>
      </c>
      <c r="G129" s="21" t="str">
        <f t="shared" si="185"/>
        <v>N/A</v>
      </c>
      <c r="H129" s="12">
        <f t="shared" si="186"/>
        <v>0</v>
      </c>
      <c r="I129" s="19" t="s">
        <v>16</v>
      </c>
      <c r="J129" s="19" t="s">
        <v>32</v>
      </c>
      <c r="K129" s="19" t="s">
        <v>16</v>
      </c>
      <c r="L129" s="21" t="str">
        <f t="shared" si="187"/>
        <v>N/A</v>
      </c>
      <c r="M129" s="1">
        <v>1</v>
      </c>
      <c r="N129" s="19" t="s">
        <v>260</v>
      </c>
      <c r="O129" s="19" t="s">
        <v>32</v>
      </c>
      <c r="P129" s="19" t="s">
        <v>260</v>
      </c>
      <c r="Q129" s="21" t="str">
        <f t="shared" si="188"/>
        <v xml:space="preserve">El agua nos llegaba por el cuello N/A</v>
      </c>
      <c r="R129" s="1">
        <v>0</v>
      </c>
      <c r="S129" s="19" t="s">
        <v>16</v>
      </c>
      <c r="T129" s="19" t="s">
        <v>32</v>
      </c>
      <c r="U129" s="19" t="s">
        <v>16</v>
      </c>
      <c r="V129" s="21" t="str">
        <f t="shared" si="189"/>
        <v>N/A</v>
      </c>
    </row>
    <row r="130">
      <c r="A130">
        <v>749</v>
      </c>
      <c r="B130" s="1" t="s">
        <v>261</v>
      </c>
      <c r="C130">
        <v>0</v>
      </c>
      <c r="D130" s="19" t="s">
        <v>16</v>
      </c>
      <c r="E130" s="2" t="s">
        <v>32</v>
      </c>
      <c r="F130" s="19" t="s">
        <v>16</v>
      </c>
      <c r="G130" s="21" t="str">
        <f t="shared" si="185"/>
        <v>N/A</v>
      </c>
      <c r="H130" s="12">
        <f t="shared" si="186"/>
        <v>0</v>
      </c>
      <c r="I130" s="19" t="s">
        <v>16</v>
      </c>
      <c r="J130" s="19" t="s">
        <v>32</v>
      </c>
      <c r="K130" s="19" t="s">
        <v>16</v>
      </c>
      <c r="L130" s="21" t="str">
        <f t="shared" si="187"/>
        <v>N/A</v>
      </c>
      <c r="M130" s="1">
        <v>1</v>
      </c>
      <c r="N130" s="19" t="s">
        <v>263</v>
      </c>
      <c r="O130" s="19" t="s">
        <v>32</v>
      </c>
      <c r="P130" s="19" t="s">
        <v>263</v>
      </c>
      <c r="Q130" s="21" t="str">
        <f t="shared" si="188"/>
        <v xml:space="preserve">El agua por el cuello N/A</v>
      </c>
      <c r="R130" s="1">
        <v>0</v>
      </c>
      <c r="S130" s="19" t="s">
        <v>16</v>
      </c>
      <c r="T130" s="19" t="s">
        <v>32</v>
      </c>
      <c r="U130" s="19" t="s">
        <v>16</v>
      </c>
      <c r="V130" s="21" t="str">
        <f t="shared" si="189"/>
        <v>N/A</v>
      </c>
    </row>
    <row r="131" ht="29.100000000000001">
      <c r="A131">
        <v>750</v>
      </c>
      <c r="B131" s="1" t="s">
        <v>264</v>
      </c>
      <c r="C131">
        <v>0</v>
      </c>
      <c r="D131" s="19" t="s">
        <v>16</v>
      </c>
      <c r="E131" s="2" t="s">
        <v>32</v>
      </c>
      <c r="F131" s="19" t="s">
        <v>16</v>
      </c>
      <c r="G131" s="21" t="str">
        <f t="shared" si="185"/>
        <v>N/A</v>
      </c>
      <c r="H131" s="12">
        <f t="shared" si="186"/>
        <v>0</v>
      </c>
      <c r="I131" s="19" t="s">
        <v>16</v>
      </c>
      <c r="J131" s="19" t="s">
        <v>32</v>
      </c>
      <c r="K131" s="19" t="s">
        <v>16</v>
      </c>
      <c r="L131" s="21" t="str">
        <f t="shared" si="187"/>
        <v>N/A</v>
      </c>
      <c r="M131" s="1">
        <v>0</v>
      </c>
      <c r="N131" s="19" t="s">
        <v>16</v>
      </c>
      <c r="O131" s="19" t="s">
        <v>32</v>
      </c>
      <c r="P131" s="19" t="s">
        <v>16</v>
      </c>
      <c r="Q131" s="21" t="str">
        <f t="shared" si="188"/>
        <v>N/A</v>
      </c>
      <c r="R131" s="1">
        <v>0</v>
      </c>
      <c r="S131" s="19" t="s">
        <v>16</v>
      </c>
      <c r="T131" s="19" t="s">
        <v>32</v>
      </c>
      <c r="U131" s="19" t="s">
        <v>16</v>
      </c>
      <c r="V131" s="21" t="str">
        <f t="shared" si="189"/>
        <v>N/A</v>
      </c>
    </row>
    <row r="132" ht="29.100000000000001">
      <c r="A132">
        <v>754</v>
      </c>
      <c r="B132" s="1" t="s">
        <v>265</v>
      </c>
      <c r="C132">
        <v>0</v>
      </c>
      <c r="D132" s="19" t="s">
        <v>16</v>
      </c>
      <c r="E132" s="2" t="s">
        <v>266</v>
      </c>
      <c r="F132" s="19" t="s">
        <v>16</v>
      </c>
      <c r="G132" s="21" t="str">
        <f t="shared" si="185"/>
        <v xml:space="preserve">"revolución meteorológica"</v>
      </c>
      <c r="H132" s="12">
        <f t="shared" si="186"/>
        <v>0</v>
      </c>
      <c r="I132" s="19" t="s">
        <v>16</v>
      </c>
      <c r="J132" s="19" t="s">
        <v>32</v>
      </c>
      <c r="K132" s="19" t="s">
        <v>16</v>
      </c>
      <c r="L132" s="21" t="str">
        <f t="shared" si="187"/>
        <v>N/A</v>
      </c>
      <c r="M132" s="1">
        <v>0</v>
      </c>
      <c r="N132" s="19" t="s">
        <v>16</v>
      </c>
      <c r="O132" s="19" t="s">
        <v>568</v>
      </c>
      <c r="P132" s="19" t="s">
        <v>16</v>
      </c>
      <c r="Q132" s="21" t="str">
        <f t="shared" si="188"/>
        <v xml:space="preserve">"UME fue activada el mismo martes"</v>
      </c>
      <c r="R132" s="1">
        <v>0</v>
      </c>
      <c r="S132" s="19" t="s">
        <v>16</v>
      </c>
      <c r="T132" s="19" t="s">
        <v>32</v>
      </c>
      <c r="U132" s="19" t="s">
        <v>16</v>
      </c>
      <c r="V132" s="21" t="str">
        <f t="shared" si="189"/>
        <v>N/A</v>
      </c>
    </row>
    <row r="133" ht="29.100000000000001">
      <c r="A133">
        <v>757</v>
      </c>
      <c r="B133" s="1" t="s">
        <v>267</v>
      </c>
      <c r="C133">
        <v>0</v>
      </c>
      <c r="D133" s="19" t="s">
        <v>16</v>
      </c>
      <c r="E133" s="2" t="s">
        <v>32</v>
      </c>
      <c r="F133" s="19" t="s">
        <v>16</v>
      </c>
      <c r="G133" s="21" t="str">
        <f t="shared" si="185"/>
        <v>N/A</v>
      </c>
      <c r="H133" s="12">
        <f t="shared" si="186"/>
        <v>0</v>
      </c>
      <c r="I133" s="19" t="s">
        <v>569</v>
      </c>
      <c r="J133" s="19" t="s">
        <v>32</v>
      </c>
      <c r="K133" s="19" t="s">
        <v>16</v>
      </c>
      <c r="L133" s="21" t="str">
        <f t="shared" si="187"/>
        <v xml:space="preserve">Restringen el acceso de voluntarios N/A</v>
      </c>
      <c r="M133" s="1">
        <v>0</v>
      </c>
      <c r="N133" s="19" t="s">
        <v>16</v>
      </c>
      <c r="O133" s="19" t="s">
        <v>570</v>
      </c>
      <c r="P133" s="19" t="s">
        <v>16</v>
      </c>
      <c r="Q133" s="21" t="str">
        <f t="shared" si="188"/>
        <v xml:space="preserve">"Restringen el acceso de voluntarios"</v>
      </c>
      <c r="R133" s="1">
        <v>0</v>
      </c>
      <c r="S133" s="19" t="s">
        <v>16</v>
      </c>
      <c r="T133" s="19" t="s">
        <v>571</v>
      </c>
      <c r="U133" s="19" t="s">
        <v>16</v>
      </c>
      <c r="V133" s="21" t="str">
        <f t="shared" si="189"/>
        <v xml:space="preserve">"aviso amarillo por lluvias"</v>
      </c>
    </row>
    <row r="134" ht="43.5">
      <c r="A134">
        <v>766</v>
      </c>
      <c r="B134" s="1" t="s">
        <v>268</v>
      </c>
      <c r="C134">
        <v>0</v>
      </c>
      <c r="D134" s="19" t="s">
        <v>16</v>
      </c>
      <c r="E134" s="2" t="s">
        <v>32</v>
      </c>
      <c r="F134" s="19" t="s">
        <v>16</v>
      </c>
      <c r="G134" s="21" t="str">
        <f t="shared" si="185"/>
        <v>N/A</v>
      </c>
      <c r="H134" s="12">
        <f t="shared" si="186"/>
        <v>0</v>
      </c>
      <c r="I134" s="19" t="s">
        <v>16</v>
      </c>
      <c r="J134" s="19" t="s">
        <v>32</v>
      </c>
      <c r="K134" s="19" t="s">
        <v>16</v>
      </c>
      <c r="L134" s="21" t="str">
        <f t="shared" si="187"/>
        <v>N/A</v>
      </c>
      <c r="M134" s="1">
        <v>0</v>
      </c>
      <c r="N134" s="19" t="s">
        <v>16</v>
      </c>
      <c r="O134" s="19" t="s">
        <v>32</v>
      </c>
      <c r="P134" s="19" t="s">
        <v>16</v>
      </c>
      <c r="Q134" s="21" t="str">
        <f t="shared" si="188"/>
        <v>N/A</v>
      </c>
      <c r="R134" s="1">
        <v>1</v>
      </c>
      <c r="S134" s="19" t="s">
        <v>267</v>
      </c>
      <c r="T134" s="19" t="s">
        <v>572</v>
      </c>
      <c r="U134" s="19" t="s">
        <v>267</v>
      </c>
      <c r="V134" s="21" t="str">
        <f t="shared" si="189"/>
        <v xml:space="preserve">¿Está Euskadi preparada para una DANA como la de Valencia? "preparada para una DANA"</v>
      </c>
    </row>
    <row r="135" ht="29.100000000000001">
      <c r="A135">
        <v>768</v>
      </c>
      <c r="B135" s="1" t="s">
        <v>269</v>
      </c>
      <c r="C135">
        <v>0</v>
      </c>
      <c r="D135" s="19" t="s">
        <v>16</v>
      </c>
      <c r="E135" s="2" t="s">
        <v>32</v>
      </c>
      <c r="F135" s="19" t="s">
        <v>16</v>
      </c>
      <c r="G135" s="21" t="str">
        <f t="shared" si="185"/>
        <v>N/A</v>
      </c>
      <c r="H135" s="12">
        <f t="shared" si="186"/>
        <v>0</v>
      </c>
      <c r="I135" s="19" t="s">
        <v>16</v>
      </c>
      <c r="J135" s="19" t="s">
        <v>32</v>
      </c>
      <c r="K135" s="19" t="s">
        <v>16</v>
      </c>
      <c r="L135" s="21" t="str">
        <f t="shared" si="187"/>
        <v>N/A</v>
      </c>
      <c r="M135" s="1">
        <v>0</v>
      </c>
      <c r="N135" s="19" t="s">
        <v>16</v>
      </c>
      <c r="O135" s="19" t="s">
        <v>32</v>
      </c>
      <c r="P135" s="19" t="s">
        <v>16</v>
      </c>
      <c r="Q135" s="21" t="str">
        <f t="shared" si="188"/>
        <v>N/A</v>
      </c>
      <c r="R135" s="1">
        <v>0</v>
      </c>
      <c r="S135" s="19" t="s">
        <v>16</v>
      </c>
      <c r="T135" s="19" t="s">
        <v>32</v>
      </c>
      <c r="U135" s="19" t="s">
        <v>16</v>
      </c>
      <c r="V135" s="21" t="str">
        <f t="shared" si="189"/>
        <v>N/A</v>
      </c>
    </row>
    <row r="136" ht="29.100000000000001">
      <c r="A136">
        <v>788</v>
      </c>
      <c r="B136" s="1" t="s">
        <v>272</v>
      </c>
      <c r="C136">
        <v>1</v>
      </c>
      <c r="D136" s="19" t="s">
        <v>82</v>
      </c>
      <c r="E136" s="2" t="s">
        <v>274</v>
      </c>
      <c r="F136" s="19" t="s">
        <v>82</v>
      </c>
      <c r="G136" s="21" t="str">
        <f t="shared" si="185"/>
        <v xml:space="preserve">Es apocalíptico "Es apocalíptico"</v>
      </c>
      <c r="H136" s="12">
        <f t="shared" si="186"/>
        <v>0</v>
      </c>
      <c r="I136" s="19" t="s">
        <v>16</v>
      </c>
      <c r="J136" s="19" t="s">
        <v>32</v>
      </c>
      <c r="K136" s="19" t="s">
        <v>16</v>
      </c>
      <c r="L136" s="21" t="str">
        <f t="shared" si="187"/>
        <v>N/A</v>
      </c>
      <c r="M136" s="1">
        <v>0</v>
      </c>
      <c r="N136" s="19" t="s">
        <v>16</v>
      </c>
      <c r="O136" s="19" t="s">
        <v>32</v>
      </c>
      <c r="P136" s="19" t="s">
        <v>16</v>
      </c>
      <c r="Q136" s="21" t="str">
        <f t="shared" si="188"/>
        <v>N/A</v>
      </c>
      <c r="R136" s="1">
        <v>0</v>
      </c>
      <c r="S136" s="19" t="s">
        <v>16</v>
      </c>
      <c r="T136" s="19" t="s">
        <v>32</v>
      </c>
      <c r="U136" s="19" t="s">
        <v>16</v>
      </c>
      <c r="V136" s="21" t="str">
        <f t="shared" si="189"/>
        <v>N/A</v>
      </c>
    </row>
    <row r="137" ht="29.100000000000001">
      <c r="A137">
        <v>798</v>
      </c>
      <c r="B137" s="1" t="s">
        <v>275</v>
      </c>
      <c r="C137">
        <v>0</v>
      </c>
      <c r="D137" s="19" t="s">
        <v>16</v>
      </c>
      <c r="E137" s="2" t="s">
        <v>32</v>
      </c>
      <c r="F137" s="19" t="s">
        <v>16</v>
      </c>
      <c r="G137" s="21" t="str">
        <f t="shared" si="185"/>
        <v>N/A</v>
      </c>
      <c r="H137" s="12">
        <f t="shared" si="186"/>
        <v>0</v>
      </c>
      <c r="I137" s="19" t="s">
        <v>16</v>
      </c>
      <c r="J137" s="19" t="s">
        <v>32</v>
      </c>
      <c r="K137" s="19" t="s">
        <v>16</v>
      </c>
      <c r="L137" s="21" t="str">
        <f t="shared" si="187"/>
        <v>N/A</v>
      </c>
      <c r="M137" s="1">
        <v>0</v>
      </c>
      <c r="N137" s="19" t="s">
        <v>16</v>
      </c>
      <c r="O137" s="19" t="s">
        <v>32</v>
      </c>
      <c r="P137" s="19" t="s">
        <v>16</v>
      </c>
      <c r="Q137" s="21" t="str">
        <f t="shared" si="188"/>
        <v>N/A</v>
      </c>
      <c r="R137" s="1">
        <v>0</v>
      </c>
      <c r="S137" s="19" t="s">
        <v>16</v>
      </c>
      <c r="T137" s="19" t="s">
        <v>32</v>
      </c>
      <c r="U137" s="19" t="s">
        <v>16</v>
      </c>
      <c r="V137" s="21" t="str">
        <f t="shared" si="189"/>
        <v>N/A</v>
      </c>
    </row>
    <row r="138">
      <c r="A138">
        <v>799</v>
      </c>
      <c r="B138" s="1" t="s">
        <v>276</v>
      </c>
      <c r="C138">
        <v>0</v>
      </c>
      <c r="D138" s="19" t="s">
        <v>16</v>
      </c>
      <c r="E138" s="2" t="s">
        <v>32</v>
      </c>
      <c r="F138" s="19" t="s">
        <v>16</v>
      </c>
      <c r="G138" s="21" t="str">
        <f t="shared" si="185"/>
        <v>N/A</v>
      </c>
      <c r="H138" s="12">
        <f t="shared" si="186"/>
        <v>0</v>
      </c>
      <c r="I138" s="19" t="s">
        <v>16</v>
      </c>
      <c r="J138" s="19" t="s">
        <v>32</v>
      </c>
      <c r="K138" s="19" t="s">
        <v>16</v>
      </c>
      <c r="L138" s="21" t="str">
        <f t="shared" si="187"/>
        <v>N/A</v>
      </c>
      <c r="M138" s="1">
        <v>0</v>
      </c>
      <c r="N138" s="19" t="s">
        <v>16</v>
      </c>
      <c r="O138" s="19" t="s">
        <v>32</v>
      </c>
      <c r="P138" s="19" t="s">
        <v>16</v>
      </c>
      <c r="Q138" s="21" t="str">
        <f t="shared" si="188"/>
        <v>N/A</v>
      </c>
      <c r="R138" s="1">
        <v>0</v>
      </c>
      <c r="S138" s="19" t="s">
        <v>16</v>
      </c>
      <c r="T138" s="19" t="s">
        <v>32</v>
      </c>
      <c r="U138" s="19" t="s">
        <v>16</v>
      </c>
      <c r="V138" s="21" t="str">
        <f t="shared" si="189"/>
        <v>N/A</v>
      </c>
    </row>
    <row r="139" ht="29.100000000000001">
      <c r="A139">
        <v>807</v>
      </c>
      <c r="B139" s="1" t="s">
        <v>277</v>
      </c>
      <c r="C139">
        <v>0</v>
      </c>
      <c r="D139" s="19" t="s">
        <v>16</v>
      </c>
      <c r="E139" s="2" t="s">
        <v>32</v>
      </c>
      <c r="F139" s="19" t="s">
        <v>16</v>
      </c>
      <c r="G139" s="21" t="str">
        <f t="shared" si="185"/>
        <v>N/A</v>
      </c>
      <c r="H139" s="12">
        <f t="shared" si="186"/>
        <v>0</v>
      </c>
      <c r="I139" s="19" t="s">
        <v>573</v>
      </c>
      <c r="J139" s="19" t="s">
        <v>574</v>
      </c>
      <c r="K139" s="19" t="s">
        <v>16</v>
      </c>
      <c r="L139" s="21" t="str">
        <f t="shared" si="187"/>
        <v xml:space="preserve">obliga a cerrar carreteras "cerrar carreteras"</v>
      </c>
      <c r="M139" s="1">
        <v>0</v>
      </c>
      <c r="N139" s="19" t="s">
        <v>16</v>
      </c>
      <c r="O139" s="19" t="s">
        <v>32</v>
      </c>
      <c r="P139" s="19" t="s">
        <v>16</v>
      </c>
      <c r="Q139" s="21" t="str">
        <f t="shared" si="188"/>
        <v>N/A</v>
      </c>
      <c r="R139" s="1">
        <v>0</v>
      </c>
      <c r="S139" s="19" t="s">
        <v>16</v>
      </c>
      <c r="T139" s="19" t="s">
        <v>32</v>
      </c>
      <c r="U139" s="19" t="s">
        <v>16</v>
      </c>
      <c r="V139" s="21" t="str">
        <f t="shared" si="189"/>
        <v>N/A</v>
      </c>
    </row>
    <row r="140" ht="72.599999999999994">
      <c r="A140">
        <v>814</v>
      </c>
      <c r="B140" s="1" t="s">
        <v>278</v>
      </c>
      <c r="C140">
        <v>1</v>
      </c>
      <c r="D140" s="19" t="s">
        <v>575</v>
      </c>
      <c r="E140" s="2" t="s">
        <v>576</v>
      </c>
      <c r="F140" s="19" t="s">
        <v>577</v>
      </c>
      <c r="G140" s="21" t="str">
        <f t="shared" si="185"/>
        <v xml:space="preserve">5 veces superior al Ebro "5 veces superior al Ebro" / "zona cero" Un caudal 5 veces superior al Ebro</v>
      </c>
      <c r="H140" s="12">
        <f t="shared" si="186"/>
        <v>0</v>
      </c>
      <c r="I140" s="19" t="s">
        <v>93</v>
      </c>
      <c r="J140" s="19" t="s">
        <v>32</v>
      </c>
      <c r="K140" s="19" t="s">
        <v>16</v>
      </c>
      <c r="L140" s="21" t="str">
        <f t="shared" si="187"/>
        <v xml:space="preserve">zona cero N/A</v>
      </c>
      <c r="M140" s="1">
        <v>0</v>
      </c>
      <c r="N140" s="19" t="s">
        <v>16</v>
      </c>
      <c r="O140" s="19" t="s">
        <v>32</v>
      </c>
      <c r="P140" s="19" t="s">
        <v>16</v>
      </c>
      <c r="Q140" s="21" t="str">
        <f t="shared" si="188"/>
        <v>N/A</v>
      </c>
      <c r="R140" s="1">
        <v>0</v>
      </c>
      <c r="S140" s="19" t="s">
        <v>16</v>
      </c>
      <c r="T140" s="19" t="s">
        <v>32</v>
      </c>
      <c r="U140" s="19" t="s">
        <v>16</v>
      </c>
      <c r="V140" s="21" t="str">
        <f t="shared" si="189"/>
        <v>N/A</v>
      </c>
    </row>
    <row r="141" ht="57.950000000000003">
      <c r="A141">
        <v>816</v>
      </c>
      <c r="B141" s="1" t="s">
        <v>280</v>
      </c>
      <c r="C141">
        <v>0</v>
      </c>
      <c r="D141" s="19" t="s">
        <v>16</v>
      </c>
      <c r="E141" s="2" t="s">
        <v>32</v>
      </c>
      <c r="F141" s="19" t="s">
        <v>16</v>
      </c>
      <c r="G141" s="21" t="str">
        <f t="shared" si="185"/>
        <v>N/A</v>
      </c>
      <c r="H141" s="12">
        <f t="shared" si="186"/>
        <v>0</v>
      </c>
      <c r="I141" s="19" t="s">
        <v>16</v>
      </c>
      <c r="J141" s="19" t="s">
        <v>32</v>
      </c>
      <c r="K141" s="19" t="s">
        <v>16</v>
      </c>
      <c r="L141" s="21" t="str">
        <f t="shared" si="187"/>
        <v>N/A</v>
      </c>
      <c r="M141" s="1">
        <v>0</v>
      </c>
      <c r="N141" s="19" t="s">
        <v>16</v>
      </c>
      <c r="O141" s="19" t="s">
        <v>32</v>
      </c>
      <c r="P141" s="19" t="s">
        <v>16</v>
      </c>
      <c r="Q141" s="21" t="str">
        <f t="shared" si="188"/>
        <v>N/A</v>
      </c>
      <c r="R141" s="1">
        <v>1</v>
      </c>
      <c r="S141" s="19" t="s">
        <v>578</v>
      </c>
      <c r="T141" s="19" t="s">
        <v>579</v>
      </c>
      <c r="U141" s="19" t="s">
        <v>580</v>
      </c>
      <c r="V141" s="21" t="str">
        <f t="shared" si="189"/>
        <v xml:space="preserve">Cuándo termina la nueva DANA "alerta roja en Málaga, Valencia y Tarragona" alerta roja en Málaga, Valencia y Tarragona</v>
      </c>
    </row>
    <row r="142" ht="29.100000000000001">
      <c r="A142">
        <v>827</v>
      </c>
      <c r="B142" s="1" t="s">
        <v>281</v>
      </c>
      <c r="C142">
        <v>1</v>
      </c>
      <c r="D142" s="19" t="s">
        <v>284</v>
      </c>
      <c r="E142" s="2" t="s">
        <v>283</v>
      </c>
      <c r="F142" s="19" t="s">
        <v>16</v>
      </c>
      <c r="G142" s="21" t="str">
        <f t="shared" si="185"/>
        <v xml:space="preserve">Cien vidas segadas "Cien vidas segadas"</v>
      </c>
      <c r="H142" s="12">
        <f t="shared" si="186"/>
        <v>0</v>
      </c>
      <c r="I142" s="19" t="s">
        <v>16</v>
      </c>
      <c r="J142" s="19" t="s">
        <v>32</v>
      </c>
      <c r="K142" s="19" t="s">
        <v>16</v>
      </c>
      <c r="L142" s="21" t="str">
        <f t="shared" si="187"/>
        <v>N/A</v>
      </c>
      <c r="M142" s="1">
        <v>0</v>
      </c>
      <c r="N142" s="19" t="s">
        <v>16</v>
      </c>
      <c r="O142" s="19" t="s">
        <v>32</v>
      </c>
      <c r="P142" s="19" t="s">
        <v>16</v>
      </c>
      <c r="Q142" s="21" t="str">
        <f t="shared" si="188"/>
        <v>N/A</v>
      </c>
      <c r="R142" s="1">
        <v>0</v>
      </c>
      <c r="S142" s="19" t="s">
        <v>16</v>
      </c>
      <c r="T142" s="19" t="s">
        <v>32</v>
      </c>
      <c r="U142" s="19" t="s">
        <v>16</v>
      </c>
      <c r="V142" s="21" t="str">
        <f t="shared" si="189"/>
        <v>N/A</v>
      </c>
    </row>
    <row r="143" ht="57.950000000000003">
      <c r="A143">
        <v>828</v>
      </c>
      <c r="B143" s="1" t="s">
        <v>285</v>
      </c>
      <c r="C143">
        <v>0</v>
      </c>
      <c r="D143" s="19" t="s">
        <v>16</v>
      </c>
      <c r="E143" s="2" t="s">
        <v>32</v>
      </c>
      <c r="F143" s="19" t="s">
        <v>16</v>
      </c>
      <c r="G143" s="21" t="str">
        <f t="shared" si="185"/>
        <v>N/A</v>
      </c>
      <c r="H143" s="12">
        <f t="shared" si="186"/>
        <v>0</v>
      </c>
      <c r="I143" s="19" t="s">
        <v>16</v>
      </c>
      <c r="J143" s="19" t="s">
        <v>32</v>
      </c>
      <c r="K143" s="19" t="s">
        <v>16</v>
      </c>
      <c r="L143" s="21" t="str">
        <f t="shared" si="187"/>
        <v>N/A</v>
      </c>
      <c r="M143" s="1">
        <v>1</v>
      </c>
      <c r="N143" s="19" t="s">
        <v>581</v>
      </c>
      <c r="O143" s="19" t="s">
        <v>582</v>
      </c>
      <c r="P143" s="19" t="s">
        <v>583</v>
      </c>
      <c r="Q143" s="21" t="str">
        <f t="shared" si="188"/>
        <v xml:space="preserve">55 minutos de retraso "55 minutos de retraso" 55 minutos de retraso que pudieron salvar vidas</v>
      </c>
      <c r="R143" s="1">
        <v>0</v>
      </c>
      <c r="S143" s="19" t="s">
        <v>16</v>
      </c>
      <c r="T143" s="19" t="s">
        <v>32</v>
      </c>
      <c r="U143" s="19" t="s">
        <v>16</v>
      </c>
      <c r="V143" s="21" t="str">
        <f t="shared" si="189"/>
        <v>N/A</v>
      </c>
    </row>
    <row r="144">
      <c r="A144">
        <v>830</v>
      </c>
      <c r="B144" s="1" t="s">
        <v>287</v>
      </c>
      <c r="C144">
        <v>0</v>
      </c>
      <c r="D144" s="19" t="s">
        <v>16</v>
      </c>
      <c r="E144" s="2" t="s">
        <v>32</v>
      </c>
      <c r="F144" s="19" t="s">
        <v>16</v>
      </c>
      <c r="G144" s="21" t="str">
        <f t="shared" si="185"/>
        <v>N/A</v>
      </c>
      <c r="H144" s="12">
        <f t="shared" si="186"/>
        <v>0</v>
      </c>
      <c r="I144" s="19" t="s">
        <v>16</v>
      </c>
      <c r="J144" s="19" t="s">
        <v>32</v>
      </c>
      <c r="K144" s="19" t="s">
        <v>16</v>
      </c>
      <c r="L144" s="21" t="str">
        <f t="shared" si="187"/>
        <v>N/A</v>
      </c>
      <c r="M144" s="1">
        <v>0</v>
      </c>
      <c r="N144" s="19" t="s">
        <v>16</v>
      </c>
      <c r="O144" s="19" t="s">
        <v>32</v>
      </c>
      <c r="P144" s="19" t="s">
        <v>16</v>
      </c>
      <c r="Q144" s="21" t="str">
        <f t="shared" si="188"/>
        <v>N/A</v>
      </c>
      <c r="R144" s="1">
        <v>0</v>
      </c>
      <c r="S144" s="19" t="s">
        <v>16</v>
      </c>
      <c r="T144" s="19" t="s">
        <v>32</v>
      </c>
      <c r="U144" s="19" t="s">
        <v>16</v>
      </c>
      <c r="V144" s="21" t="str">
        <f t="shared" si="189"/>
        <v>N/A</v>
      </c>
    </row>
    <row r="145" ht="57.950000000000003">
      <c r="A145">
        <v>832</v>
      </c>
      <c r="B145" s="1" t="s">
        <v>288</v>
      </c>
      <c r="C145">
        <v>0</v>
      </c>
      <c r="D145" s="19" t="s">
        <v>16</v>
      </c>
      <c r="E145" s="2" t="s">
        <v>290</v>
      </c>
      <c r="F145" s="19" t="s">
        <v>16</v>
      </c>
      <c r="G145" s="21" t="str">
        <f t="shared" si="185"/>
        <v xml:space="preserve">"caos y tragedia"</v>
      </c>
      <c r="H145" s="12">
        <f t="shared" si="186"/>
        <v>0</v>
      </c>
      <c r="I145" s="19" t="s">
        <v>584</v>
      </c>
      <c r="J145" s="19" t="s">
        <v>585</v>
      </c>
      <c r="K145" s="19" t="s">
        <v>586</v>
      </c>
      <c r="L145" s="21" t="str">
        <f t="shared" si="187"/>
        <v xml:space="preserve">caos "anega e incomunica" anega e incomunica la provincia de Valencia</v>
      </c>
      <c r="M145" s="1">
        <v>0</v>
      </c>
      <c r="N145" s="19" t="s">
        <v>16</v>
      </c>
      <c r="O145" s="19" t="s">
        <v>32</v>
      </c>
      <c r="P145" s="19" t="s">
        <v>16</v>
      </c>
      <c r="Q145" s="21" t="str">
        <f t="shared" si="188"/>
        <v>N/A</v>
      </c>
      <c r="R145" s="1">
        <v>0</v>
      </c>
      <c r="S145" s="19" t="s">
        <v>16</v>
      </c>
      <c r="T145" s="19" t="s">
        <v>32</v>
      </c>
      <c r="U145" s="19" t="s">
        <v>16</v>
      </c>
      <c r="V145" s="21" t="str">
        <f t="shared" si="189"/>
        <v>N/A</v>
      </c>
    </row>
    <row r="146">
      <c r="A146">
        <v>835</v>
      </c>
      <c r="B146" s="1" t="s">
        <v>292</v>
      </c>
      <c r="C146">
        <v>0</v>
      </c>
      <c r="D146" s="19" t="s">
        <v>16</v>
      </c>
      <c r="E146" s="2" t="s">
        <v>32</v>
      </c>
      <c r="F146" s="19" t="s">
        <v>16</v>
      </c>
      <c r="G146" s="21" t="str">
        <f t="shared" si="185"/>
        <v>N/A</v>
      </c>
      <c r="H146" s="12">
        <f t="shared" si="186"/>
        <v>0</v>
      </c>
      <c r="I146" s="19" t="s">
        <v>16</v>
      </c>
      <c r="J146" s="19" t="s">
        <v>32</v>
      </c>
      <c r="K146" s="19" t="s">
        <v>16</v>
      </c>
      <c r="L146" s="21" t="str">
        <f t="shared" si="187"/>
        <v>N/A</v>
      </c>
      <c r="M146" s="1">
        <v>0</v>
      </c>
      <c r="N146" s="19" t="s">
        <v>16</v>
      </c>
      <c r="O146" s="19" t="s">
        <v>32</v>
      </c>
      <c r="P146" s="19" t="s">
        <v>16</v>
      </c>
      <c r="Q146" s="21" t="str">
        <f t="shared" si="188"/>
        <v>N/A</v>
      </c>
      <c r="R146" s="1">
        <v>0</v>
      </c>
      <c r="S146" s="19" t="s">
        <v>16</v>
      </c>
      <c r="T146" s="19" t="s">
        <v>587</v>
      </c>
      <c r="U146" s="19" t="s">
        <v>16</v>
      </c>
      <c r="V146" s="21" t="str">
        <f t="shared" si="189"/>
        <v xml:space="preserve">"de momento"</v>
      </c>
    </row>
    <row r="147">
      <c r="A147">
        <v>837</v>
      </c>
      <c r="B147" s="1" t="s">
        <v>293</v>
      </c>
      <c r="C147">
        <v>0</v>
      </c>
      <c r="D147" s="19" t="s">
        <v>16</v>
      </c>
      <c r="E147" s="2" t="s">
        <v>294</v>
      </c>
      <c r="F147" s="19" t="s">
        <v>16</v>
      </c>
      <c r="G147" s="21" t="str">
        <f t="shared" si="185"/>
        <v>"devastación"</v>
      </c>
      <c r="H147" s="12">
        <f t="shared" si="186"/>
        <v>0</v>
      </c>
      <c r="I147" s="19" t="s">
        <v>16</v>
      </c>
      <c r="J147" s="19" t="s">
        <v>32</v>
      </c>
      <c r="K147" s="19" t="s">
        <v>16</v>
      </c>
      <c r="L147" s="21" t="str">
        <f t="shared" si="187"/>
        <v>N/A</v>
      </c>
      <c r="M147" s="1">
        <v>0</v>
      </c>
      <c r="N147" s="19" t="s">
        <v>16</v>
      </c>
      <c r="O147" s="19" t="s">
        <v>32</v>
      </c>
      <c r="P147" s="19" t="s">
        <v>16</v>
      </c>
      <c r="Q147" s="21" t="str">
        <f t="shared" si="188"/>
        <v>N/A</v>
      </c>
      <c r="R147" s="1">
        <v>0</v>
      </c>
      <c r="S147" s="19" t="s">
        <v>16</v>
      </c>
      <c r="T147" s="19" t="s">
        <v>32</v>
      </c>
      <c r="U147" s="19" t="s">
        <v>16</v>
      </c>
      <c r="V147" s="21" t="str">
        <f t="shared" si="189"/>
        <v>N/A</v>
      </c>
    </row>
    <row r="148" ht="43.5">
      <c r="A148">
        <v>847</v>
      </c>
      <c r="B148" s="1" t="s">
        <v>295</v>
      </c>
      <c r="C148">
        <v>0</v>
      </c>
      <c r="D148" s="19" t="s">
        <v>16</v>
      </c>
      <c r="E148" s="2" t="s">
        <v>32</v>
      </c>
      <c r="F148" s="19" t="s">
        <v>16</v>
      </c>
      <c r="G148" s="21" t="str">
        <f t="shared" si="185"/>
        <v>N/A</v>
      </c>
      <c r="H148" s="12">
        <f t="shared" si="186"/>
        <v>0</v>
      </c>
      <c r="I148" s="19" t="s">
        <v>16</v>
      </c>
      <c r="J148" s="19" t="s">
        <v>32</v>
      </c>
      <c r="K148" s="19" t="s">
        <v>16</v>
      </c>
      <c r="L148" s="21" t="str">
        <f t="shared" si="187"/>
        <v>N/A</v>
      </c>
      <c r="M148" s="1">
        <v>0</v>
      </c>
      <c r="N148" s="19" t="s">
        <v>16</v>
      </c>
      <c r="O148" s="19" t="s">
        <v>32</v>
      </c>
      <c r="P148" s="19" t="s">
        <v>16</v>
      </c>
      <c r="Q148" s="21" t="str">
        <f t="shared" si="188"/>
        <v>N/A</v>
      </c>
      <c r="R148" s="1">
        <v>1</v>
      </c>
      <c r="S148" s="19" t="s">
        <v>588</v>
      </c>
      <c r="T148" s="19" t="s">
        <v>589</v>
      </c>
      <c r="U148" s="19" t="s">
        <v>16</v>
      </c>
      <c r="V148" s="21" t="str">
        <f t="shared" si="189"/>
        <v xml:space="preserve">caldo de cultivo de la desinformación y los bulos "desinformación y los bulos"</v>
      </c>
    </row>
    <row r="149" ht="29.100000000000001">
      <c r="A149">
        <v>851</v>
      </c>
      <c r="B149" s="1" t="s">
        <v>296</v>
      </c>
      <c r="C149">
        <v>0</v>
      </c>
      <c r="D149" s="19" t="s">
        <v>16</v>
      </c>
      <c r="E149" s="2" t="s">
        <v>32</v>
      </c>
      <c r="F149" s="19" t="s">
        <v>16</v>
      </c>
      <c r="G149" s="21" t="str">
        <f t="shared" si="185"/>
        <v>N/A</v>
      </c>
      <c r="H149" s="12">
        <f t="shared" si="186"/>
        <v>0</v>
      </c>
      <c r="I149" s="19" t="s">
        <v>16</v>
      </c>
      <c r="J149" s="19" t="s">
        <v>32</v>
      </c>
      <c r="K149" s="19" t="s">
        <v>16</v>
      </c>
      <c r="L149" s="21" t="str">
        <f t="shared" si="187"/>
        <v>N/A</v>
      </c>
      <c r="M149" s="1">
        <v>0</v>
      </c>
      <c r="N149" s="19" t="s">
        <v>16</v>
      </c>
      <c r="O149" s="19" t="s">
        <v>32</v>
      </c>
      <c r="P149" s="19" t="s">
        <v>16</v>
      </c>
      <c r="Q149" s="21" t="str">
        <f t="shared" si="188"/>
        <v>N/A</v>
      </c>
      <c r="R149" s="1">
        <v>0</v>
      </c>
      <c r="S149" s="19" t="s">
        <v>16</v>
      </c>
      <c r="T149" s="19" t="s">
        <v>32</v>
      </c>
      <c r="U149" s="19" t="s">
        <v>16</v>
      </c>
      <c r="V149" s="21" t="str">
        <f t="shared" si="189"/>
        <v>N/A</v>
      </c>
    </row>
    <row r="150">
      <c r="A150">
        <v>858</v>
      </c>
      <c r="B150" s="1" t="s">
        <v>298</v>
      </c>
      <c r="C150">
        <v>0</v>
      </c>
      <c r="D150" s="19" t="s">
        <v>16</v>
      </c>
      <c r="E150" s="2" t="s">
        <v>32</v>
      </c>
      <c r="F150" s="19" t="s">
        <v>16</v>
      </c>
      <c r="G150" s="21" t="str">
        <f t="shared" si="185"/>
        <v>N/A</v>
      </c>
      <c r="H150" s="12">
        <f t="shared" si="186"/>
        <v>0</v>
      </c>
      <c r="I150" s="19" t="s">
        <v>16</v>
      </c>
      <c r="J150" s="19" t="s">
        <v>32</v>
      </c>
      <c r="K150" s="19" t="s">
        <v>16</v>
      </c>
      <c r="L150" s="21" t="str">
        <f t="shared" si="187"/>
        <v>N/A</v>
      </c>
      <c r="M150" s="1">
        <v>0</v>
      </c>
      <c r="N150" s="19" t="s">
        <v>16</v>
      </c>
      <c r="O150" s="19" t="s">
        <v>32</v>
      </c>
      <c r="P150" s="19" t="s">
        <v>16</v>
      </c>
      <c r="Q150" s="21" t="str">
        <f t="shared" si="188"/>
        <v>N/A</v>
      </c>
      <c r="R150" s="1">
        <v>0</v>
      </c>
      <c r="S150" s="19" t="s">
        <v>16</v>
      </c>
      <c r="T150" s="19" t="s">
        <v>32</v>
      </c>
      <c r="U150" s="19" t="s">
        <v>16</v>
      </c>
      <c r="V150" s="21" t="str">
        <f t="shared" si="189"/>
        <v>N/A</v>
      </c>
    </row>
    <row r="151" ht="57.950000000000003">
      <c r="A151">
        <v>862</v>
      </c>
      <c r="B151" s="1" t="s">
        <v>299</v>
      </c>
      <c r="C151">
        <v>0</v>
      </c>
      <c r="D151" s="19" t="s">
        <v>16</v>
      </c>
      <c r="E151" s="2" t="s">
        <v>32</v>
      </c>
      <c r="F151" s="19" t="s">
        <v>16</v>
      </c>
      <c r="G151" s="21" t="str">
        <f t="shared" si="185"/>
        <v>N/A</v>
      </c>
      <c r="H151" s="12">
        <f t="shared" si="186"/>
        <v>0</v>
      </c>
      <c r="I151" s="19" t="s">
        <v>16</v>
      </c>
      <c r="J151" s="19" t="s">
        <v>32</v>
      </c>
      <c r="K151" s="19" t="s">
        <v>16</v>
      </c>
      <c r="L151" s="21" t="str">
        <f t="shared" si="187"/>
        <v>N/A</v>
      </c>
      <c r="M151" s="1">
        <v>1</v>
      </c>
      <c r="N151" s="19" t="s">
        <v>590</v>
      </c>
      <c r="O151" s="19" t="s">
        <v>591</v>
      </c>
      <c r="P151" s="19" t="s">
        <v>592</v>
      </c>
      <c r="Q151" s="21" t="str">
        <f t="shared" si="188"/>
        <v xml:space="preserve">repulsa a la gestión "señal de repulsa a la gestión a Mazón" señal de repulsa a la gestión a Mazón</v>
      </c>
      <c r="R151" s="1">
        <v>0</v>
      </c>
      <c r="S151" s="19" t="s">
        <v>16</v>
      </c>
      <c r="T151" s="19" t="s">
        <v>32</v>
      </c>
      <c r="U151" s="19" t="s">
        <v>16</v>
      </c>
      <c r="V151" s="21" t="str">
        <f t="shared" si="189"/>
        <v>N/A</v>
      </c>
    </row>
    <row r="152" ht="43.5">
      <c r="A152">
        <v>878</v>
      </c>
      <c r="B152" s="1" t="s">
        <v>300</v>
      </c>
      <c r="C152" s="12">
        <v>1</v>
      </c>
      <c r="D152" s="19" t="s">
        <v>593</v>
      </c>
      <c r="E152" s="2" t="s">
        <v>594</v>
      </c>
      <c r="F152" s="19" t="s">
        <v>595</v>
      </c>
      <c r="G152" s="21" t="str">
        <f t="shared" si="185"/>
        <v xml:space="preserve">récord histórico "récord histórico" nuevo récord histórico de lluvia</v>
      </c>
      <c r="H152" s="12">
        <f t="shared" si="186"/>
        <v>0</v>
      </c>
      <c r="I152" s="19" t="s">
        <v>16</v>
      </c>
      <c r="J152" s="19" t="s">
        <v>32</v>
      </c>
      <c r="K152" s="19" t="s">
        <v>16</v>
      </c>
      <c r="L152" s="21" t="str">
        <f t="shared" si="187"/>
        <v>N/A</v>
      </c>
      <c r="M152" s="21">
        <v>0</v>
      </c>
      <c r="N152" s="19" t="s">
        <v>16</v>
      </c>
      <c r="O152" s="19" t="s">
        <v>32</v>
      </c>
      <c r="P152" s="19" t="s">
        <v>16</v>
      </c>
      <c r="Q152" s="21" t="str">
        <f t="shared" si="188"/>
        <v>N/A</v>
      </c>
      <c r="R152" s="21">
        <v>0</v>
      </c>
      <c r="S152" s="19" t="s">
        <v>16</v>
      </c>
      <c r="T152" s="19" t="s">
        <v>32</v>
      </c>
      <c r="U152" s="19" t="s">
        <v>16</v>
      </c>
      <c r="V152" s="21" t="str">
        <f t="shared" si="189"/>
        <v>N/A</v>
      </c>
    </row>
    <row r="153">
      <c r="A153">
        <v>883</v>
      </c>
      <c r="B153" s="1" t="s">
        <v>301</v>
      </c>
      <c r="C153">
        <v>0</v>
      </c>
      <c r="D153" s="19" t="s">
        <v>16</v>
      </c>
      <c r="E153" s="2" t="s">
        <v>32</v>
      </c>
      <c r="F153" s="19" t="s">
        <v>16</v>
      </c>
      <c r="G153" s="21" t="str">
        <f t="shared" si="185"/>
        <v>N/A</v>
      </c>
      <c r="H153" s="12">
        <f t="shared" si="186"/>
        <v>0</v>
      </c>
      <c r="I153" s="19" t="s">
        <v>16</v>
      </c>
      <c r="J153" s="19" t="s">
        <v>32</v>
      </c>
      <c r="K153" s="19" t="s">
        <v>16</v>
      </c>
      <c r="L153" s="21" t="str">
        <f t="shared" si="187"/>
        <v>N/A</v>
      </c>
      <c r="M153" s="1">
        <v>0</v>
      </c>
      <c r="N153" s="19" t="s">
        <v>16</v>
      </c>
      <c r="O153" s="19" t="s">
        <v>32</v>
      </c>
      <c r="P153" s="19" t="s">
        <v>16</v>
      </c>
      <c r="Q153" s="21" t="str">
        <f t="shared" si="188"/>
        <v>N/A</v>
      </c>
      <c r="R153" s="1">
        <v>0</v>
      </c>
      <c r="S153" s="19" t="s">
        <v>16</v>
      </c>
      <c r="T153" s="19" t="s">
        <v>32</v>
      </c>
      <c r="U153" s="19" t="s">
        <v>16</v>
      </c>
      <c r="V153" s="21" t="str">
        <f t="shared" si="189"/>
        <v>N/A</v>
      </c>
    </row>
    <row r="154">
      <c r="A154">
        <v>884</v>
      </c>
      <c r="B154" s="1" t="s">
        <v>303</v>
      </c>
      <c r="C154" s="12">
        <v>0</v>
      </c>
      <c r="D154" s="19" t="s">
        <v>16</v>
      </c>
      <c r="E154" s="2" t="s">
        <v>32</v>
      </c>
      <c r="F154" s="19" t="s">
        <v>16</v>
      </c>
      <c r="G154" s="21" t="str">
        <f t="shared" si="185"/>
        <v>N/A</v>
      </c>
      <c r="H154" s="12">
        <f t="shared" si="186"/>
        <v>0</v>
      </c>
      <c r="I154" s="19" t="s">
        <v>16</v>
      </c>
      <c r="J154" s="19" t="s">
        <v>32</v>
      </c>
      <c r="K154" s="19" t="s">
        <v>16</v>
      </c>
      <c r="L154" s="21" t="str">
        <f t="shared" si="187"/>
        <v>N/A</v>
      </c>
      <c r="M154" s="21">
        <v>0</v>
      </c>
      <c r="N154" s="19" t="s">
        <v>16</v>
      </c>
      <c r="O154" s="19" t="s">
        <v>32</v>
      </c>
      <c r="P154" s="19" t="s">
        <v>16</v>
      </c>
      <c r="Q154" s="21" t="str">
        <f t="shared" si="188"/>
        <v>N/A</v>
      </c>
      <c r="R154" s="1">
        <v>0</v>
      </c>
      <c r="S154" s="19" t="s">
        <v>16</v>
      </c>
      <c r="T154" s="19" t="s">
        <v>32</v>
      </c>
      <c r="U154" s="19" t="s">
        <v>16</v>
      </c>
      <c r="V154" s="21" t="str">
        <f t="shared" si="189"/>
        <v>N/A</v>
      </c>
    </row>
    <row r="155">
      <c r="A155">
        <v>886</v>
      </c>
      <c r="B155" s="1" t="s">
        <v>304</v>
      </c>
      <c r="C155">
        <v>0</v>
      </c>
      <c r="D155" s="19" t="s">
        <v>16</v>
      </c>
      <c r="E155" s="2" t="s">
        <v>32</v>
      </c>
      <c r="F155" s="19" t="s">
        <v>16</v>
      </c>
      <c r="G155" s="21" t="str">
        <f t="shared" si="185"/>
        <v>N/A</v>
      </c>
      <c r="H155" s="12">
        <f t="shared" si="186"/>
        <v>0</v>
      </c>
      <c r="I155" s="19" t="s">
        <v>16</v>
      </c>
      <c r="J155" s="19" t="s">
        <v>32</v>
      </c>
      <c r="K155" s="19" t="s">
        <v>16</v>
      </c>
      <c r="L155" s="21" t="str">
        <f t="shared" si="187"/>
        <v>N/A</v>
      </c>
      <c r="M155" s="1">
        <v>0</v>
      </c>
      <c r="N155" s="19" t="s">
        <v>16</v>
      </c>
      <c r="O155" s="19" t="s">
        <v>32</v>
      </c>
      <c r="P155" s="19" t="s">
        <v>16</v>
      </c>
      <c r="Q155" s="21" t="str">
        <f t="shared" si="188"/>
        <v>N/A</v>
      </c>
      <c r="R155" s="1">
        <v>0</v>
      </c>
      <c r="S155" s="19" t="s">
        <v>16</v>
      </c>
      <c r="T155" s="19" t="s">
        <v>32</v>
      </c>
      <c r="U155" s="19" t="s">
        <v>16</v>
      </c>
      <c r="V155" s="21" t="str">
        <f t="shared" si="189"/>
        <v>N/A</v>
      </c>
    </row>
    <row r="156">
      <c r="A156">
        <v>892</v>
      </c>
      <c r="B156" s="1" t="s">
        <v>305</v>
      </c>
      <c r="C156">
        <v>0</v>
      </c>
      <c r="D156" s="19" t="s">
        <v>16</v>
      </c>
      <c r="E156" s="2" t="s">
        <v>32</v>
      </c>
      <c r="F156" s="19" t="s">
        <v>16</v>
      </c>
      <c r="G156" s="21" t="str">
        <f t="shared" si="185"/>
        <v>N/A</v>
      </c>
      <c r="H156" s="12">
        <f t="shared" si="186"/>
        <v>0</v>
      </c>
      <c r="I156" s="19" t="s">
        <v>16</v>
      </c>
      <c r="J156" s="19" t="s">
        <v>32</v>
      </c>
      <c r="K156" s="19" t="s">
        <v>16</v>
      </c>
      <c r="L156" s="21" t="str">
        <f t="shared" si="187"/>
        <v>N/A</v>
      </c>
      <c r="M156" s="1">
        <v>0</v>
      </c>
      <c r="N156" s="19" t="s">
        <v>16</v>
      </c>
      <c r="O156" s="19" t="s">
        <v>32</v>
      </c>
      <c r="P156" s="19" t="s">
        <v>16</v>
      </c>
      <c r="Q156" s="21" t="str">
        <f t="shared" si="188"/>
        <v>N/A</v>
      </c>
      <c r="R156" s="1">
        <v>0</v>
      </c>
      <c r="S156" s="19" t="s">
        <v>16</v>
      </c>
      <c r="T156" s="19" t="s">
        <v>32</v>
      </c>
      <c r="U156" s="19" t="s">
        <v>16</v>
      </c>
      <c r="V156" s="21" t="str">
        <f t="shared" si="189"/>
        <v>N/A</v>
      </c>
    </row>
    <row r="157">
      <c r="A157">
        <v>893</v>
      </c>
      <c r="B157" s="1" t="s">
        <v>307</v>
      </c>
      <c r="C157">
        <v>0</v>
      </c>
      <c r="D157" s="19" t="s">
        <v>16</v>
      </c>
      <c r="E157" s="2" t="s">
        <v>294</v>
      </c>
      <c r="F157" s="19" t="s">
        <v>16</v>
      </c>
      <c r="G157" s="21" t="str">
        <f t="shared" si="185"/>
        <v>"devastación"</v>
      </c>
      <c r="H157" s="12">
        <f t="shared" si="186"/>
        <v>0</v>
      </c>
      <c r="I157" s="19" t="s">
        <v>16</v>
      </c>
      <c r="J157" s="19" t="s">
        <v>32</v>
      </c>
      <c r="K157" s="19" t="s">
        <v>16</v>
      </c>
      <c r="L157" s="21" t="str">
        <f t="shared" si="187"/>
        <v>N/A</v>
      </c>
      <c r="M157" s="1">
        <v>0</v>
      </c>
      <c r="N157" s="19" t="s">
        <v>16</v>
      </c>
      <c r="O157" s="19" t="s">
        <v>32</v>
      </c>
      <c r="P157" s="19" t="s">
        <v>16</v>
      </c>
      <c r="Q157" s="21" t="str">
        <f t="shared" si="188"/>
        <v>N/A</v>
      </c>
      <c r="R157" s="1">
        <v>0</v>
      </c>
      <c r="S157" s="19" t="s">
        <v>16</v>
      </c>
      <c r="T157" s="19" t="s">
        <v>32</v>
      </c>
      <c r="U157" s="19" t="s">
        <v>16</v>
      </c>
      <c r="V157" s="21" t="str">
        <f t="shared" si="189"/>
        <v>N/A</v>
      </c>
    </row>
    <row r="158" ht="43.5">
      <c r="A158">
        <v>898</v>
      </c>
      <c r="B158" s="1" t="s">
        <v>309</v>
      </c>
      <c r="C158">
        <v>0</v>
      </c>
      <c r="D158" s="19" t="s">
        <v>16</v>
      </c>
      <c r="E158" s="2" t="s">
        <v>294</v>
      </c>
      <c r="F158" s="19" t="s">
        <v>16</v>
      </c>
      <c r="G158" s="21" t="str">
        <f t="shared" si="185"/>
        <v>"devastación"</v>
      </c>
      <c r="H158" s="12">
        <f t="shared" si="186"/>
        <v>0</v>
      </c>
      <c r="I158" s="19" t="s">
        <v>16</v>
      </c>
      <c r="J158" s="19" t="s">
        <v>32</v>
      </c>
      <c r="K158" s="19" t="s">
        <v>16</v>
      </c>
      <c r="L158" s="21" t="str">
        <f t="shared" si="187"/>
        <v>N/A</v>
      </c>
      <c r="M158" s="1">
        <v>0</v>
      </c>
      <c r="N158" s="19" t="s">
        <v>16</v>
      </c>
      <c r="O158" s="19" t="s">
        <v>32</v>
      </c>
      <c r="P158" s="19" t="s">
        <v>16</v>
      </c>
      <c r="Q158" s="21" t="str">
        <f t="shared" si="188"/>
        <v>N/A</v>
      </c>
      <c r="R158" s="1">
        <v>1</v>
      </c>
      <c r="S158" s="19" t="s">
        <v>16</v>
      </c>
      <c r="T158" s="19" t="s">
        <v>596</v>
      </c>
      <c r="U158" s="19" t="s">
        <v>597</v>
      </c>
      <c r="V158" s="21" t="str">
        <f t="shared" si="189"/>
        <v xml:space="preserve">"deja 70 muertos de momento" 70 muertos en Valencia de momento</v>
      </c>
    </row>
    <row r="159" ht="43.5">
      <c r="A159">
        <v>905</v>
      </c>
      <c r="B159" s="1" t="s">
        <v>311</v>
      </c>
      <c r="C159">
        <v>0</v>
      </c>
      <c r="D159" s="19" t="s">
        <v>16</v>
      </c>
      <c r="E159" s="2" t="s">
        <v>32</v>
      </c>
      <c r="F159" s="19" t="s">
        <v>16</v>
      </c>
      <c r="G159" s="21" t="str">
        <f t="shared" si="185"/>
        <v>N/A</v>
      </c>
      <c r="H159" s="12">
        <f t="shared" si="186"/>
        <v>0</v>
      </c>
      <c r="I159" s="19" t="s">
        <v>598</v>
      </c>
      <c r="J159" s="19" t="s">
        <v>599</v>
      </c>
      <c r="K159" s="19" t="s">
        <v>16</v>
      </c>
      <c r="L159" s="21" t="str">
        <f t="shared" si="187"/>
        <v xml:space="preserve">mantiene cortadas 52 carreteras "mantiene cortadas 52 carreteras"</v>
      </c>
      <c r="M159" s="1">
        <v>0</v>
      </c>
      <c r="N159" s="19" t="s">
        <v>16</v>
      </c>
      <c r="O159" s="19" t="s">
        <v>32</v>
      </c>
      <c r="P159" s="19" t="s">
        <v>16</v>
      </c>
      <c r="Q159" s="21" t="str">
        <f t="shared" si="188"/>
        <v>N/A</v>
      </c>
      <c r="R159" s="1">
        <v>1</v>
      </c>
      <c r="S159" s="19" t="s">
        <v>600</v>
      </c>
      <c r="T159" s="19" t="s">
        <v>601</v>
      </c>
      <c r="U159" s="19" t="s">
        <v>16</v>
      </c>
      <c r="V159" s="21" t="str">
        <f t="shared" si="189"/>
        <v xml:space="preserve">aún mantiene cortadas "sigue afectada"</v>
      </c>
    </row>
    <row r="160">
      <c r="A160">
        <v>907</v>
      </c>
      <c r="B160" s="1" t="s">
        <v>313</v>
      </c>
      <c r="C160" s="12">
        <v>0</v>
      </c>
      <c r="D160" s="19" t="s">
        <v>16</v>
      </c>
      <c r="E160" s="2" t="s">
        <v>32</v>
      </c>
      <c r="F160" s="19" t="s">
        <v>16</v>
      </c>
      <c r="G160" s="21" t="str">
        <f t="shared" si="185"/>
        <v>N/A</v>
      </c>
      <c r="H160" s="12">
        <f t="shared" si="186"/>
        <v>0</v>
      </c>
      <c r="I160" s="19" t="s">
        <v>16</v>
      </c>
      <c r="J160" s="19" t="s">
        <v>32</v>
      </c>
      <c r="K160" s="19" t="s">
        <v>16</v>
      </c>
      <c r="L160" s="21" t="str">
        <f t="shared" si="187"/>
        <v>N/A</v>
      </c>
      <c r="M160" s="21">
        <v>0</v>
      </c>
      <c r="N160" s="19" t="s">
        <v>16</v>
      </c>
      <c r="O160" s="19" t="s">
        <v>32</v>
      </c>
      <c r="P160" s="19" t="s">
        <v>16</v>
      </c>
      <c r="Q160" s="21" t="str">
        <f t="shared" si="188"/>
        <v>N/A</v>
      </c>
      <c r="R160" s="21">
        <v>0</v>
      </c>
      <c r="S160" s="19" t="s">
        <v>16</v>
      </c>
      <c r="T160" s="19" t="s">
        <v>32</v>
      </c>
      <c r="U160" s="19" t="s">
        <v>16</v>
      </c>
      <c r="V160" s="21" t="str">
        <f t="shared" si="189"/>
        <v>N/A</v>
      </c>
    </row>
    <row r="161">
      <c r="A161">
        <v>921</v>
      </c>
      <c r="B161" s="1" t="s">
        <v>314</v>
      </c>
      <c r="C161">
        <v>0</v>
      </c>
      <c r="D161" s="19" t="s">
        <v>16</v>
      </c>
      <c r="E161" s="2" t="s">
        <v>32</v>
      </c>
      <c r="F161" s="19" t="s">
        <v>16</v>
      </c>
      <c r="G161" s="21" t="str">
        <f t="shared" si="185"/>
        <v>N/A</v>
      </c>
      <c r="H161" s="12">
        <f t="shared" si="186"/>
        <v>0</v>
      </c>
      <c r="I161" s="19" t="s">
        <v>16</v>
      </c>
      <c r="J161" s="19" t="s">
        <v>32</v>
      </c>
      <c r="K161" s="19" t="s">
        <v>16</v>
      </c>
      <c r="L161" s="21" t="str">
        <f t="shared" si="187"/>
        <v>N/A</v>
      </c>
      <c r="M161" s="1">
        <v>0</v>
      </c>
      <c r="N161" s="19" t="s">
        <v>16</v>
      </c>
      <c r="O161" s="19" t="s">
        <v>32</v>
      </c>
      <c r="P161" s="19" t="s">
        <v>16</v>
      </c>
      <c r="Q161" s="21" t="str">
        <f t="shared" si="188"/>
        <v>N/A</v>
      </c>
      <c r="R161" s="1">
        <v>0</v>
      </c>
      <c r="S161" s="19" t="s">
        <v>16</v>
      </c>
      <c r="T161" s="19" t="s">
        <v>32</v>
      </c>
      <c r="U161" s="19" t="s">
        <v>16</v>
      </c>
      <c r="V161" s="21" t="str">
        <f t="shared" si="189"/>
        <v>N/A</v>
      </c>
    </row>
    <row r="162">
      <c r="A162">
        <v>931</v>
      </c>
      <c r="B162" s="1" t="s">
        <v>316</v>
      </c>
      <c r="C162">
        <v>0</v>
      </c>
      <c r="D162" s="19" t="s">
        <v>16</v>
      </c>
      <c r="E162" s="2" t="s">
        <v>32</v>
      </c>
      <c r="F162" s="19" t="s">
        <v>16</v>
      </c>
      <c r="G162" s="21" t="str">
        <f t="shared" si="185"/>
        <v>N/A</v>
      </c>
      <c r="H162" s="12">
        <f t="shared" si="186"/>
        <v>0</v>
      </c>
      <c r="I162" s="19" t="s">
        <v>16</v>
      </c>
      <c r="J162" s="19" t="s">
        <v>32</v>
      </c>
      <c r="K162" s="19" t="s">
        <v>16</v>
      </c>
      <c r="L162" s="21" t="str">
        <f t="shared" si="187"/>
        <v>N/A</v>
      </c>
      <c r="M162" s="1">
        <v>0</v>
      </c>
      <c r="N162" s="19" t="s">
        <v>16</v>
      </c>
      <c r="O162" s="19" t="s">
        <v>32</v>
      </c>
      <c r="P162" s="19" t="s">
        <v>16</v>
      </c>
      <c r="Q162" s="21" t="str">
        <f t="shared" si="188"/>
        <v>N/A</v>
      </c>
      <c r="R162" s="1">
        <v>0</v>
      </c>
      <c r="S162" s="19" t="s">
        <v>16</v>
      </c>
      <c r="T162" s="19" t="s">
        <v>32</v>
      </c>
      <c r="U162" s="19" t="s">
        <v>16</v>
      </c>
      <c r="V162" s="21" t="str">
        <f t="shared" si="189"/>
        <v>N/A</v>
      </c>
    </row>
    <row r="163" ht="43.5">
      <c r="A163">
        <v>937</v>
      </c>
      <c r="B163" s="1" t="s">
        <v>317</v>
      </c>
      <c r="C163" s="23">
        <v>0</v>
      </c>
      <c r="D163" s="19" t="s">
        <v>16</v>
      </c>
      <c r="E163" s="2" t="s">
        <v>32</v>
      </c>
      <c r="F163" s="19" t="s">
        <v>16</v>
      </c>
      <c r="G163" s="21" t="str">
        <f t="shared" si="185"/>
        <v>N/A</v>
      </c>
      <c r="H163" s="12">
        <f t="shared" si="186"/>
        <v>0</v>
      </c>
      <c r="I163" s="19" t="s">
        <v>16</v>
      </c>
      <c r="J163" s="19" t="s">
        <v>32</v>
      </c>
      <c r="K163" s="19" t="s">
        <v>16</v>
      </c>
      <c r="L163" s="21" t="str">
        <f t="shared" si="187"/>
        <v>N/A</v>
      </c>
      <c r="M163" s="12">
        <v>0</v>
      </c>
      <c r="N163" s="19" t="s">
        <v>16</v>
      </c>
      <c r="O163" s="19" t="s">
        <v>32</v>
      </c>
      <c r="P163" s="19" t="s">
        <v>16</v>
      </c>
      <c r="Q163" s="21" t="str">
        <f t="shared" si="188"/>
        <v>N/A</v>
      </c>
      <c r="R163" s="12">
        <v>1</v>
      </c>
      <c r="S163" s="19" t="s">
        <v>16</v>
      </c>
      <c r="T163" s="19" t="s">
        <v>602</v>
      </c>
      <c r="U163" s="19" t="s">
        <v>603</v>
      </c>
      <c r="V163" s="21" t="str">
        <f t="shared" si="189"/>
        <v xml:space="preserve">"eleva a roja la alerta por lluvias" Emergencias eleva a roja la alerta por lluvias</v>
      </c>
    </row>
    <row r="164">
      <c r="A164">
        <v>944</v>
      </c>
      <c r="B164" s="1" t="s">
        <v>318</v>
      </c>
      <c r="C164">
        <v>0</v>
      </c>
      <c r="D164" s="19" t="s">
        <v>16</v>
      </c>
      <c r="E164" s="2" t="s">
        <v>32</v>
      </c>
      <c r="F164" s="19" t="s">
        <v>16</v>
      </c>
      <c r="G164" s="21" t="str">
        <f t="shared" ref="G164:G201" si="190">TRIM(_xlfn.CONCAT(IF(D164="N/A","",D164&amp;" "),IF(E164="N/A","",E164&amp;" "),IF(OR(F164="N/A",F164=D164),"",F164&amp;" ")))</f>
        <v>N/A</v>
      </c>
      <c r="H164" s="12">
        <f t="shared" ref="H164:H201" si="191">IF(SUM(E164,F164,G164)&gt;=2,1,0)</f>
        <v>0</v>
      </c>
      <c r="I164" s="19" t="s">
        <v>16</v>
      </c>
      <c r="J164" s="19" t="s">
        <v>32</v>
      </c>
      <c r="K164" s="19" t="s">
        <v>16</v>
      </c>
      <c r="L164" s="21" t="str">
        <f t="shared" ref="L164:L201" si="192">TRIM(_xlfn.CONCAT(IF(I164="N/A","",I164&amp;" "),IF(J164="N/A","",J164&amp;" "),IF(OR(K164="N/A",K164=I164),"",K164&amp;" ")))</f>
        <v>N/A</v>
      </c>
      <c r="M164" s="1">
        <v>0</v>
      </c>
      <c r="N164" s="19" t="s">
        <v>16</v>
      </c>
      <c r="O164" s="19" t="s">
        <v>32</v>
      </c>
      <c r="P164" s="19" t="s">
        <v>16</v>
      </c>
      <c r="Q164" s="21" t="str">
        <f t="shared" ref="Q164:Q201" si="193">TRIM(_xlfn.CONCAT(IF(N164="N/A","",N164&amp;" "),IF(O164="N/A","",O164&amp;" "),IF(OR(P164="N/A",P164=N164),"",P164&amp;" ")))</f>
        <v>N/A</v>
      </c>
      <c r="R164" s="1">
        <v>0</v>
      </c>
      <c r="S164" s="19" t="s">
        <v>16</v>
      </c>
      <c r="T164" s="19" t="s">
        <v>32</v>
      </c>
      <c r="U164" s="19" t="s">
        <v>16</v>
      </c>
      <c r="V164" s="21" t="str">
        <f t="shared" ref="V164:V201" si="194">TRIM(_xlfn.CONCAT(IF(S164="N/A","",S164&amp;" "),IF(T164="N/A","",T164&amp;" "),IF(OR(U164="N/A",U164=S164),"",U164&amp;" ")))</f>
        <v>N/A</v>
      </c>
    </row>
    <row r="165" ht="29.100000000000001">
      <c r="A165">
        <v>954</v>
      </c>
      <c r="B165" s="1" t="s">
        <v>319</v>
      </c>
      <c r="C165">
        <v>0</v>
      </c>
      <c r="D165" s="19" t="s">
        <v>16</v>
      </c>
      <c r="E165" s="2" t="s">
        <v>32</v>
      </c>
      <c r="F165" s="19" t="s">
        <v>16</v>
      </c>
      <c r="G165" s="21" t="str">
        <f t="shared" si="190"/>
        <v>N/A</v>
      </c>
      <c r="H165" s="12">
        <f t="shared" si="191"/>
        <v>0</v>
      </c>
      <c r="I165" s="19" t="s">
        <v>16</v>
      </c>
      <c r="J165" s="19" t="s">
        <v>32</v>
      </c>
      <c r="K165" s="19" t="s">
        <v>16</v>
      </c>
      <c r="L165" s="21" t="str">
        <f t="shared" si="192"/>
        <v>N/A</v>
      </c>
      <c r="M165" s="1">
        <v>0</v>
      </c>
      <c r="N165" s="19" t="s">
        <v>16</v>
      </c>
      <c r="O165" s="19" t="s">
        <v>32</v>
      </c>
      <c r="P165" s="19" t="s">
        <v>16</v>
      </c>
      <c r="Q165" s="21" t="str">
        <f t="shared" si="193"/>
        <v>N/A</v>
      </c>
      <c r="R165" s="1">
        <v>1</v>
      </c>
      <c r="S165" s="19" t="s">
        <v>604</v>
      </c>
      <c r="T165" s="19" t="s">
        <v>605</v>
      </c>
      <c r="U165" s="19" t="s">
        <v>16</v>
      </c>
      <c r="V165" s="21" t="str">
        <f t="shared" si="194"/>
        <v xml:space="preserve">aumentan la destrucción "daña más el barro que el agua"</v>
      </c>
    </row>
    <row r="166" ht="29.100000000000001">
      <c r="A166">
        <v>960</v>
      </c>
      <c r="B166" s="1" t="s">
        <v>320</v>
      </c>
      <c r="C166">
        <v>0</v>
      </c>
      <c r="D166" s="19" t="s">
        <v>16</v>
      </c>
      <c r="E166" s="2" t="s">
        <v>32</v>
      </c>
      <c r="F166" s="19" t="s">
        <v>16</v>
      </c>
      <c r="G166" s="21" t="str">
        <f t="shared" si="190"/>
        <v>N/A</v>
      </c>
      <c r="H166" s="12">
        <f t="shared" si="191"/>
        <v>0</v>
      </c>
      <c r="I166" s="19" t="s">
        <v>16</v>
      </c>
      <c r="J166" s="19" t="s">
        <v>32</v>
      </c>
      <c r="K166" s="19" t="s">
        <v>16</v>
      </c>
      <c r="L166" s="21" t="str">
        <f t="shared" si="192"/>
        <v>N/A</v>
      </c>
      <c r="M166" s="1">
        <v>1</v>
      </c>
      <c r="N166" s="19" t="s">
        <v>606</v>
      </c>
      <c r="O166" s="19" t="s">
        <v>607</v>
      </c>
      <c r="P166" s="19" t="s">
        <v>16</v>
      </c>
      <c r="Q166" s="21" t="str">
        <f t="shared" si="193"/>
        <v xml:space="preserve">los miles de voluntarios "miles de voluntarios"</v>
      </c>
      <c r="R166" s="1">
        <v>0</v>
      </c>
      <c r="S166" s="19" t="s">
        <v>16</v>
      </c>
      <c r="T166" s="19" t="s">
        <v>32</v>
      </c>
      <c r="U166" s="19" t="s">
        <v>16</v>
      </c>
      <c r="V166" s="21" t="str">
        <f t="shared" si="194"/>
        <v>N/A</v>
      </c>
    </row>
    <row r="167" ht="29.100000000000001">
      <c r="A167">
        <v>962</v>
      </c>
      <c r="B167" s="1" t="s">
        <v>321</v>
      </c>
      <c r="C167">
        <v>0</v>
      </c>
      <c r="D167" s="19" t="s">
        <v>16</v>
      </c>
      <c r="E167" s="2" t="s">
        <v>32</v>
      </c>
      <c r="F167" s="19" t="s">
        <v>16</v>
      </c>
      <c r="G167" s="21" t="str">
        <f t="shared" si="190"/>
        <v>N/A</v>
      </c>
      <c r="H167" s="12">
        <f t="shared" si="191"/>
        <v>0</v>
      </c>
      <c r="I167" s="19" t="s">
        <v>16</v>
      </c>
      <c r="J167" s="19" t="s">
        <v>32</v>
      </c>
      <c r="K167" s="19" t="s">
        <v>16</v>
      </c>
      <c r="L167" s="21" t="str">
        <f t="shared" si="192"/>
        <v>N/A</v>
      </c>
      <c r="M167" s="1">
        <v>0</v>
      </c>
      <c r="N167" s="19" t="s">
        <v>16</v>
      </c>
      <c r="O167" s="19" t="s">
        <v>32</v>
      </c>
      <c r="P167" s="19" t="s">
        <v>16</v>
      </c>
      <c r="Q167" s="21" t="str">
        <f t="shared" si="193"/>
        <v>N/A</v>
      </c>
      <c r="R167" s="1">
        <v>1</v>
      </c>
      <c r="S167" s="19" t="s">
        <v>608</v>
      </c>
      <c r="T167" s="19" t="s">
        <v>609</v>
      </c>
      <c r="U167" s="19" t="s">
        <v>16</v>
      </c>
      <c r="V167" s="21" t="str">
        <f t="shared" si="194"/>
        <v xml:space="preserve">nueva alerta "nueva alerta"</v>
      </c>
    </row>
    <row r="168" ht="29.100000000000001">
      <c r="A168">
        <v>968</v>
      </c>
      <c r="B168" s="1" t="s">
        <v>322</v>
      </c>
      <c r="C168">
        <v>0</v>
      </c>
      <c r="D168" s="19" t="s">
        <v>16</v>
      </c>
      <c r="E168" s="2" t="s">
        <v>32</v>
      </c>
      <c r="F168" s="19" t="s">
        <v>16</v>
      </c>
      <c r="G168" s="21" t="str">
        <f t="shared" si="190"/>
        <v>N/A</v>
      </c>
      <c r="H168" s="12">
        <f t="shared" si="191"/>
        <v>0</v>
      </c>
      <c r="I168" s="19" t="s">
        <v>16</v>
      </c>
      <c r="J168" s="19" t="s">
        <v>32</v>
      </c>
      <c r="K168" s="19" t="s">
        <v>16</v>
      </c>
      <c r="L168" s="21" t="str">
        <f t="shared" si="192"/>
        <v>N/A</v>
      </c>
      <c r="M168" s="1">
        <v>0</v>
      </c>
      <c r="N168" s="19" t="s">
        <v>16</v>
      </c>
      <c r="O168" s="19" t="s">
        <v>610</v>
      </c>
      <c r="P168" s="19" t="s">
        <v>16</v>
      </c>
      <c r="Q168" s="21" t="str">
        <f t="shared" si="193"/>
        <v xml:space="preserve">"achacar responsabilidad penal a los políticos"</v>
      </c>
      <c r="R168" s="1">
        <v>0</v>
      </c>
      <c r="S168" s="19" t="s">
        <v>16</v>
      </c>
      <c r="T168" s="19" t="s">
        <v>32</v>
      </c>
      <c r="U168" s="19" t="s">
        <v>16</v>
      </c>
      <c r="V168" s="21" t="str">
        <f t="shared" si="194"/>
        <v>N/A</v>
      </c>
    </row>
    <row r="169">
      <c r="A169">
        <v>969</v>
      </c>
      <c r="B169" s="1" t="s">
        <v>323</v>
      </c>
      <c r="C169">
        <v>0</v>
      </c>
      <c r="D169" s="19" t="s">
        <v>16</v>
      </c>
      <c r="E169" s="2" t="s">
        <v>32</v>
      </c>
      <c r="F169" s="19" t="s">
        <v>16</v>
      </c>
      <c r="G169" s="21" t="str">
        <f t="shared" si="190"/>
        <v>N/A</v>
      </c>
      <c r="H169" s="12">
        <f t="shared" si="191"/>
        <v>0</v>
      </c>
      <c r="I169" s="19" t="s">
        <v>16</v>
      </c>
      <c r="J169" s="19" t="s">
        <v>32</v>
      </c>
      <c r="K169" s="19" t="s">
        <v>16</v>
      </c>
      <c r="L169" s="21" t="str">
        <f t="shared" si="192"/>
        <v>N/A</v>
      </c>
      <c r="M169" s="1">
        <v>0</v>
      </c>
      <c r="N169" s="19" t="s">
        <v>16</v>
      </c>
      <c r="O169" s="19" t="s">
        <v>32</v>
      </c>
      <c r="P169" s="19" t="s">
        <v>16</v>
      </c>
      <c r="Q169" s="21" t="str">
        <f t="shared" si="193"/>
        <v>N/A</v>
      </c>
      <c r="R169" s="1">
        <v>0</v>
      </c>
      <c r="S169" s="19" t="s">
        <v>16</v>
      </c>
      <c r="T169" s="19" t="s">
        <v>32</v>
      </c>
      <c r="U169" s="19" t="s">
        <v>16</v>
      </c>
      <c r="V169" s="21" t="str">
        <f t="shared" si="194"/>
        <v>N/A</v>
      </c>
    </row>
    <row r="170">
      <c r="A170">
        <v>1002</v>
      </c>
      <c r="B170" s="1" t="s">
        <v>325</v>
      </c>
      <c r="C170">
        <v>0</v>
      </c>
      <c r="D170" s="19" t="s">
        <v>16</v>
      </c>
      <c r="E170" s="2" t="s">
        <v>32</v>
      </c>
      <c r="F170" s="19" t="s">
        <v>16</v>
      </c>
      <c r="G170" s="21" t="str">
        <f t="shared" si="190"/>
        <v>N/A</v>
      </c>
      <c r="H170" s="12">
        <f t="shared" si="191"/>
        <v>0</v>
      </c>
      <c r="I170" s="19" t="s">
        <v>16</v>
      </c>
      <c r="J170" s="19" t="s">
        <v>32</v>
      </c>
      <c r="K170" s="19" t="s">
        <v>16</v>
      </c>
      <c r="L170" s="21" t="str">
        <f t="shared" si="192"/>
        <v>N/A</v>
      </c>
      <c r="M170" s="1">
        <v>0</v>
      </c>
      <c r="N170" s="19" t="s">
        <v>16</v>
      </c>
      <c r="O170" s="19" t="s">
        <v>32</v>
      </c>
      <c r="P170" s="19" t="s">
        <v>16</v>
      </c>
      <c r="Q170" s="21" t="str">
        <f t="shared" si="193"/>
        <v>N/A</v>
      </c>
      <c r="R170" s="1">
        <v>0</v>
      </c>
      <c r="S170" s="19" t="s">
        <v>16</v>
      </c>
      <c r="T170" s="19" t="s">
        <v>32</v>
      </c>
      <c r="U170" s="19" t="s">
        <v>16</v>
      </c>
      <c r="V170" s="21" t="str">
        <f t="shared" si="194"/>
        <v>N/A</v>
      </c>
    </row>
    <row r="171" ht="57.950000000000003">
      <c r="A171">
        <v>1004</v>
      </c>
      <c r="B171" s="1" t="s">
        <v>326</v>
      </c>
      <c r="C171">
        <v>0</v>
      </c>
      <c r="D171" s="19" t="s">
        <v>16</v>
      </c>
      <c r="E171" s="2" t="s">
        <v>327</v>
      </c>
      <c r="F171" s="19" t="s">
        <v>16</v>
      </c>
      <c r="G171" s="21" t="str">
        <f t="shared" si="190"/>
        <v xml:space="preserve">"Catástrofe medioambiental"</v>
      </c>
      <c r="H171" s="12">
        <f t="shared" si="191"/>
        <v>0</v>
      </c>
      <c r="I171" s="19" t="s">
        <v>16</v>
      </c>
      <c r="J171" s="19" t="s">
        <v>32</v>
      </c>
      <c r="K171" s="19" t="s">
        <v>16</v>
      </c>
      <c r="L171" s="21" t="str">
        <f t="shared" si="192"/>
        <v>N/A</v>
      </c>
      <c r="M171" s="1">
        <v>0</v>
      </c>
      <c r="N171" s="19" t="s">
        <v>16</v>
      </c>
      <c r="O171" s="19" t="s">
        <v>32</v>
      </c>
      <c r="P171" s="19" t="s">
        <v>16</v>
      </c>
      <c r="Q171" s="21" t="str">
        <f t="shared" si="193"/>
        <v>N/A</v>
      </c>
      <c r="R171" s="1">
        <v>1</v>
      </c>
      <c r="S171" s="19" t="s">
        <v>328</v>
      </c>
      <c r="T171" s="19" t="s">
        <v>611</v>
      </c>
      <c r="U171" s="19" t="s">
        <v>328</v>
      </c>
      <c r="V171" s="21" t="str">
        <f t="shared" si="194"/>
        <v xml:space="preserve">¿Vamos a estar 50 años comiendo arroz intoxicado? "50 años comiendo arroz intoxicado"</v>
      </c>
    </row>
    <row r="172" ht="43.5">
      <c r="A172">
        <v>1006</v>
      </c>
      <c r="B172" s="1" t="s">
        <v>329</v>
      </c>
      <c r="C172">
        <v>0</v>
      </c>
      <c r="D172" s="19" t="s">
        <v>16</v>
      </c>
      <c r="E172" s="2" t="s">
        <v>32</v>
      </c>
      <c r="F172" s="19" t="s">
        <v>16</v>
      </c>
      <c r="G172" s="21" t="str">
        <f t="shared" si="190"/>
        <v>N/A</v>
      </c>
      <c r="H172" s="12">
        <f t="shared" si="191"/>
        <v>0</v>
      </c>
      <c r="I172" s="19" t="s">
        <v>16</v>
      </c>
      <c r="J172" s="19" t="s">
        <v>32</v>
      </c>
      <c r="K172" s="19" t="s">
        <v>16</v>
      </c>
      <c r="L172" s="21" t="str">
        <f t="shared" si="192"/>
        <v>N/A</v>
      </c>
      <c r="M172" s="1">
        <v>0</v>
      </c>
      <c r="N172" s="19" t="s">
        <v>16</v>
      </c>
      <c r="O172" s="19" t="s">
        <v>32</v>
      </c>
      <c r="P172" s="19" t="s">
        <v>16</v>
      </c>
      <c r="Q172" s="21" t="str">
        <f t="shared" si="193"/>
        <v>N/A</v>
      </c>
      <c r="R172" s="1">
        <v>1</v>
      </c>
      <c r="S172" s="19" t="s">
        <v>612</v>
      </c>
      <c r="T172" s="19" t="s">
        <v>613</v>
      </c>
      <c r="U172" s="19" t="s">
        <v>16</v>
      </c>
      <c r="V172" s="21" t="str">
        <f t="shared" si="194"/>
        <v xml:space="preserve">siguen buscando víctimas y desaparecidos "siguen buscando"</v>
      </c>
    </row>
    <row r="173" ht="29.100000000000001">
      <c r="A173">
        <v>1025</v>
      </c>
      <c r="B173" s="1" t="s">
        <v>330</v>
      </c>
      <c r="C173">
        <v>0</v>
      </c>
      <c r="D173" s="19" t="s">
        <v>16</v>
      </c>
      <c r="E173" s="2" t="s">
        <v>32</v>
      </c>
      <c r="F173" s="19" t="s">
        <v>16</v>
      </c>
      <c r="G173" s="21" t="str">
        <f t="shared" si="190"/>
        <v>N/A</v>
      </c>
      <c r="H173" s="12">
        <f t="shared" si="191"/>
        <v>0</v>
      </c>
      <c r="I173" s="19" t="s">
        <v>16</v>
      </c>
      <c r="J173" s="19" t="s">
        <v>32</v>
      </c>
      <c r="K173" s="19" t="s">
        <v>16</v>
      </c>
      <c r="L173" s="21" t="str">
        <f t="shared" si="192"/>
        <v>N/A</v>
      </c>
      <c r="M173" s="1">
        <v>0</v>
      </c>
      <c r="N173" s="19" t="s">
        <v>16</v>
      </c>
      <c r="O173" s="19" t="s">
        <v>614</v>
      </c>
      <c r="P173" s="19" t="s">
        <v>16</v>
      </c>
      <c r="Q173" s="21" t="str">
        <f t="shared" si="193"/>
        <v xml:space="preserve">"ONG se movilizan para ayudar"</v>
      </c>
      <c r="R173" s="1">
        <v>0</v>
      </c>
      <c r="S173" s="19" t="s">
        <v>16</v>
      </c>
      <c r="T173" s="19" t="s">
        <v>32</v>
      </c>
      <c r="U173" s="19" t="s">
        <v>16</v>
      </c>
      <c r="V173" s="21" t="str">
        <f t="shared" si="194"/>
        <v>N/A</v>
      </c>
    </row>
    <row r="174" ht="72.599999999999994">
      <c r="A174">
        <v>1033</v>
      </c>
      <c r="B174" s="1" t="s">
        <v>332</v>
      </c>
      <c r="C174" s="24">
        <v>1</v>
      </c>
      <c r="D174" s="19" t="s">
        <v>333</v>
      </c>
      <c r="E174" s="2" t="s">
        <v>334</v>
      </c>
      <c r="F174" s="19" t="s">
        <v>615</v>
      </c>
      <c r="G174" s="21" t="str">
        <f t="shared" si="190"/>
        <v xml:space="preserve">descomunal "descomunal" Una Dana descomunal sorprende a los valencianos</v>
      </c>
      <c r="H174" s="12">
        <f t="shared" si="191"/>
        <v>0</v>
      </c>
      <c r="I174" s="19" t="s">
        <v>16</v>
      </c>
      <c r="J174" s="19" t="s">
        <v>32</v>
      </c>
      <c r="K174" s="19" t="s">
        <v>16</v>
      </c>
      <c r="L174" s="21" t="str">
        <f t="shared" si="192"/>
        <v>N/A</v>
      </c>
      <c r="M174" s="21">
        <v>0</v>
      </c>
      <c r="N174" s="19" t="s">
        <v>16</v>
      </c>
      <c r="O174" s="19" t="s">
        <v>32</v>
      </c>
      <c r="P174" s="19" t="s">
        <v>16</v>
      </c>
      <c r="Q174" s="21" t="str">
        <f t="shared" si="193"/>
        <v>N/A</v>
      </c>
      <c r="R174" s="21">
        <v>0</v>
      </c>
      <c r="S174" s="19" t="s">
        <v>16</v>
      </c>
      <c r="T174" s="19" t="s">
        <v>32</v>
      </c>
      <c r="U174" s="19" t="s">
        <v>16</v>
      </c>
      <c r="V174" s="21" t="str">
        <f t="shared" si="194"/>
        <v>N/A</v>
      </c>
    </row>
    <row r="175" ht="29.100000000000001">
      <c r="A175">
        <v>1042</v>
      </c>
      <c r="B175" s="1" t="s">
        <v>336</v>
      </c>
      <c r="C175" s="12">
        <v>0</v>
      </c>
      <c r="D175" s="19" t="s">
        <v>16</v>
      </c>
      <c r="E175" s="2" t="s">
        <v>32</v>
      </c>
      <c r="F175" s="19" t="s">
        <v>16</v>
      </c>
      <c r="G175" s="21" t="str">
        <f t="shared" si="190"/>
        <v>N/A</v>
      </c>
      <c r="H175" s="12">
        <f t="shared" si="191"/>
        <v>0</v>
      </c>
      <c r="I175" s="19" t="s">
        <v>16</v>
      </c>
      <c r="J175" s="19" t="s">
        <v>32</v>
      </c>
      <c r="K175" s="19" t="s">
        <v>16</v>
      </c>
      <c r="L175" s="21" t="str">
        <f t="shared" si="192"/>
        <v>N/A</v>
      </c>
      <c r="M175" s="21">
        <v>0</v>
      </c>
      <c r="N175" s="19" t="s">
        <v>16</v>
      </c>
      <c r="O175" s="19" t="s">
        <v>32</v>
      </c>
      <c r="P175" s="19" t="s">
        <v>16</v>
      </c>
      <c r="Q175" s="21" t="str">
        <f t="shared" si="193"/>
        <v>N/A</v>
      </c>
      <c r="R175" s="21">
        <v>1</v>
      </c>
      <c r="S175" s="19" t="s">
        <v>616</v>
      </c>
      <c r="T175" s="19" t="s">
        <v>617</v>
      </c>
      <c r="U175" s="19" t="s">
        <v>616</v>
      </c>
      <c r="V175" s="21" t="str">
        <f t="shared" si="194"/>
        <v xml:space="preserve">lesiones en cimientos "lesiones en cimientos"</v>
      </c>
    </row>
    <row r="176">
      <c r="A176">
        <v>1053</v>
      </c>
      <c r="B176" s="1" t="s">
        <v>337</v>
      </c>
      <c r="C176" s="12">
        <v>0</v>
      </c>
      <c r="D176" s="19" t="s">
        <v>16</v>
      </c>
      <c r="E176" s="2" t="s">
        <v>32</v>
      </c>
      <c r="F176" s="19" t="s">
        <v>16</v>
      </c>
      <c r="G176" s="21" t="str">
        <f t="shared" si="190"/>
        <v>N/A</v>
      </c>
      <c r="H176" s="12">
        <f t="shared" si="191"/>
        <v>0</v>
      </c>
      <c r="I176" s="19" t="s">
        <v>16</v>
      </c>
      <c r="J176" s="19" t="s">
        <v>32</v>
      </c>
      <c r="K176" s="19" t="s">
        <v>16</v>
      </c>
      <c r="L176" s="21" t="str">
        <f t="shared" si="192"/>
        <v>N/A</v>
      </c>
      <c r="M176" s="21">
        <v>0</v>
      </c>
      <c r="N176" s="19" t="s">
        <v>16</v>
      </c>
      <c r="O176" s="19" t="s">
        <v>32</v>
      </c>
      <c r="P176" s="19" t="s">
        <v>16</v>
      </c>
      <c r="Q176" s="21" t="str">
        <f t="shared" si="193"/>
        <v>N/A</v>
      </c>
      <c r="R176" s="21">
        <v>0</v>
      </c>
      <c r="S176" s="19" t="s">
        <v>16</v>
      </c>
      <c r="T176" s="19" t="s">
        <v>32</v>
      </c>
      <c r="U176" s="19" t="s">
        <v>16</v>
      </c>
      <c r="V176" s="21" t="str">
        <f t="shared" si="194"/>
        <v>N/A</v>
      </c>
    </row>
    <row r="177" ht="43.5">
      <c r="A177">
        <v>1063</v>
      </c>
      <c r="B177" s="1" t="s">
        <v>338</v>
      </c>
      <c r="C177" s="12">
        <v>0</v>
      </c>
      <c r="D177" s="19" t="s">
        <v>16</v>
      </c>
      <c r="E177" s="2" t="s">
        <v>32</v>
      </c>
      <c r="F177" s="19" t="s">
        <v>16</v>
      </c>
      <c r="G177" s="21" t="str">
        <f t="shared" si="190"/>
        <v>N/A</v>
      </c>
      <c r="H177" s="12">
        <f t="shared" si="191"/>
        <v>0</v>
      </c>
      <c r="I177" s="19" t="s">
        <v>16</v>
      </c>
      <c r="J177" s="19" t="s">
        <v>618</v>
      </c>
      <c r="K177" s="19" t="s">
        <v>16</v>
      </c>
      <c r="L177" s="21" t="str">
        <f t="shared" si="192"/>
        <v xml:space="preserve">"daña archivos de Hacienda, Industria y Presidencia"</v>
      </c>
      <c r="M177" s="21">
        <v>0</v>
      </c>
      <c r="N177" s="19" t="s">
        <v>16</v>
      </c>
      <c r="O177" s="19" t="s">
        <v>32</v>
      </c>
      <c r="P177" s="19" t="s">
        <v>16</v>
      </c>
      <c r="Q177" s="21" t="str">
        <f t="shared" si="193"/>
        <v>N/A</v>
      </c>
      <c r="R177" s="21">
        <v>0</v>
      </c>
      <c r="S177" s="19" t="s">
        <v>16</v>
      </c>
      <c r="T177" s="19" t="s">
        <v>32</v>
      </c>
      <c r="U177" s="19" t="s">
        <v>16</v>
      </c>
      <c r="V177" s="21" t="str">
        <f t="shared" si="194"/>
        <v>N/A</v>
      </c>
    </row>
    <row r="178">
      <c r="A178">
        <v>1064</v>
      </c>
      <c r="B178" s="1" t="s">
        <v>339</v>
      </c>
      <c r="C178" s="12">
        <v>0</v>
      </c>
      <c r="D178" s="19" t="s">
        <v>16</v>
      </c>
      <c r="E178" s="2" t="s">
        <v>32</v>
      </c>
      <c r="F178" s="19" t="s">
        <v>16</v>
      </c>
      <c r="G178" s="21" t="str">
        <f t="shared" si="190"/>
        <v>N/A</v>
      </c>
      <c r="H178" s="12">
        <f t="shared" si="191"/>
        <v>0</v>
      </c>
      <c r="I178" s="19" t="s">
        <v>16</v>
      </c>
      <c r="J178" s="19" t="s">
        <v>32</v>
      </c>
      <c r="K178" s="19" t="s">
        <v>16</v>
      </c>
      <c r="L178" s="21" t="str">
        <f t="shared" si="192"/>
        <v>N/A</v>
      </c>
      <c r="M178" s="21">
        <v>0</v>
      </c>
      <c r="N178" s="19" t="s">
        <v>16</v>
      </c>
      <c r="O178" s="19" t="s">
        <v>32</v>
      </c>
      <c r="P178" s="19" t="s">
        <v>16</v>
      </c>
      <c r="Q178" s="21" t="str">
        <f t="shared" si="193"/>
        <v>N/A</v>
      </c>
      <c r="R178" s="21">
        <v>0</v>
      </c>
      <c r="S178" s="19" t="s">
        <v>16</v>
      </c>
      <c r="T178" s="19" t="s">
        <v>32</v>
      </c>
      <c r="U178" s="19" t="s">
        <v>16</v>
      </c>
      <c r="V178" s="21" t="str">
        <f t="shared" si="194"/>
        <v>N/A</v>
      </c>
    </row>
    <row r="179" ht="29.100000000000001">
      <c r="A179">
        <v>1073</v>
      </c>
      <c r="B179" s="1" t="s">
        <v>340</v>
      </c>
      <c r="C179" s="12">
        <v>0</v>
      </c>
      <c r="D179" s="19" t="s">
        <v>16</v>
      </c>
      <c r="E179" s="2" t="s">
        <v>32</v>
      </c>
      <c r="F179" s="19" t="s">
        <v>16</v>
      </c>
      <c r="G179" s="21" t="str">
        <f t="shared" si="190"/>
        <v>N/A</v>
      </c>
      <c r="H179" s="12">
        <f t="shared" si="191"/>
        <v>0</v>
      </c>
      <c r="I179" s="19" t="s">
        <v>16</v>
      </c>
      <c r="J179" s="19" t="s">
        <v>32</v>
      </c>
      <c r="K179" s="19" t="s">
        <v>16</v>
      </c>
      <c r="L179" s="21" t="str">
        <f t="shared" si="192"/>
        <v>N/A</v>
      </c>
      <c r="M179" s="21">
        <v>1</v>
      </c>
      <c r="N179" s="19" t="s">
        <v>619</v>
      </c>
      <c r="O179" s="19" t="s">
        <v>620</v>
      </c>
      <c r="P179" s="19" t="s">
        <v>16</v>
      </c>
      <c r="Q179" s="21" t="str">
        <f t="shared" si="193"/>
        <v xml:space="preserve">45.000 y 50.000 los voluntarios "voluntarios"</v>
      </c>
      <c r="R179" s="21">
        <v>0</v>
      </c>
      <c r="S179" s="19" t="s">
        <v>16</v>
      </c>
      <c r="T179" s="19" t="s">
        <v>32</v>
      </c>
      <c r="U179" s="19" t="s">
        <v>16</v>
      </c>
      <c r="V179" s="21" t="str">
        <f t="shared" si="194"/>
        <v>N/A</v>
      </c>
    </row>
    <row r="180" ht="43.5">
      <c r="A180">
        <v>1076</v>
      </c>
      <c r="B180" s="1" t="s">
        <v>341</v>
      </c>
      <c r="C180" s="12">
        <v>0</v>
      </c>
      <c r="D180" s="19" t="s">
        <v>16</v>
      </c>
      <c r="E180" s="2" t="s">
        <v>32</v>
      </c>
      <c r="F180" s="19" t="s">
        <v>16</v>
      </c>
      <c r="G180" s="21" t="str">
        <f t="shared" si="190"/>
        <v>N/A</v>
      </c>
      <c r="H180" s="12">
        <f t="shared" si="191"/>
        <v>0</v>
      </c>
      <c r="I180" s="19" t="s">
        <v>16</v>
      </c>
      <c r="J180" s="19" t="s">
        <v>32</v>
      </c>
      <c r="K180" s="19" t="s">
        <v>16</v>
      </c>
      <c r="L180" s="21" t="str">
        <f t="shared" si="192"/>
        <v>N/A</v>
      </c>
      <c r="M180" s="21">
        <v>0</v>
      </c>
      <c r="N180" s="19" t="s">
        <v>16</v>
      </c>
      <c r="O180" s="19" t="s">
        <v>32</v>
      </c>
      <c r="P180" s="19" t="s">
        <v>16</v>
      </c>
      <c r="Q180" s="21" t="str">
        <f t="shared" si="193"/>
        <v>N/A</v>
      </c>
      <c r="R180" s="21">
        <v>0</v>
      </c>
      <c r="S180" s="19" t="s">
        <v>16</v>
      </c>
      <c r="T180" s="19" t="s">
        <v>32</v>
      </c>
      <c r="U180" s="19" t="s">
        <v>621</v>
      </c>
      <c r="V180" s="21" t="str">
        <f t="shared" si="194"/>
        <v xml:space="preserve">N/A una pseudo normalidad impregnada de resignación y paciencia</v>
      </c>
    </row>
    <row r="181">
      <c r="A181">
        <v>1182</v>
      </c>
      <c r="B181" s="1" t="s">
        <v>342</v>
      </c>
      <c r="C181">
        <v>0</v>
      </c>
      <c r="D181" s="19" t="s">
        <v>16</v>
      </c>
      <c r="E181" s="2" t="s">
        <v>32</v>
      </c>
      <c r="F181" s="19" t="s">
        <v>16</v>
      </c>
      <c r="G181" s="21" t="str">
        <f t="shared" si="190"/>
        <v>N/A</v>
      </c>
      <c r="H181" s="12">
        <f t="shared" si="191"/>
        <v>0</v>
      </c>
      <c r="I181" s="19" t="s">
        <v>16</v>
      </c>
      <c r="J181" s="19" t="s">
        <v>32</v>
      </c>
      <c r="K181" s="19" t="s">
        <v>16</v>
      </c>
      <c r="L181" s="21" t="str">
        <f t="shared" si="192"/>
        <v>N/A</v>
      </c>
      <c r="M181" s="1">
        <v>0</v>
      </c>
      <c r="N181" s="19" t="s">
        <v>16</v>
      </c>
      <c r="O181" s="19" t="s">
        <v>32</v>
      </c>
      <c r="P181" s="19" t="s">
        <v>16</v>
      </c>
      <c r="Q181" s="21" t="str">
        <f t="shared" si="193"/>
        <v>N/A</v>
      </c>
      <c r="R181" s="1">
        <v>0</v>
      </c>
      <c r="S181" s="19" t="s">
        <v>16</v>
      </c>
      <c r="T181" s="19" t="s">
        <v>32</v>
      </c>
      <c r="U181" s="19" t="s">
        <v>16</v>
      </c>
      <c r="V181" s="21" t="str">
        <f t="shared" si="194"/>
        <v>N/A</v>
      </c>
    </row>
    <row r="182" ht="72.599999999999994">
      <c r="A182">
        <v>1184</v>
      </c>
      <c r="B182" s="1" t="s">
        <v>343</v>
      </c>
      <c r="C182">
        <v>0</v>
      </c>
      <c r="D182" s="19" t="s">
        <v>16</v>
      </c>
      <c r="E182" s="2" t="s">
        <v>32</v>
      </c>
      <c r="F182" s="19" t="s">
        <v>16</v>
      </c>
      <c r="G182" s="21" t="str">
        <f t="shared" si="190"/>
        <v>N/A</v>
      </c>
      <c r="H182" s="12">
        <f t="shared" si="191"/>
        <v>0</v>
      </c>
      <c r="I182" s="19" t="s">
        <v>16</v>
      </c>
      <c r="J182" s="19" t="s">
        <v>622</v>
      </c>
      <c r="K182" s="19" t="s">
        <v>16</v>
      </c>
      <c r="L182" s="21" t="str">
        <f t="shared" si="192"/>
        <v xml:space="preserve">"superó todos los protocolos"</v>
      </c>
      <c r="M182" s="1">
        <v>1</v>
      </c>
      <c r="N182" s="19" t="s">
        <v>623</v>
      </c>
      <c r="O182" s="19" t="s">
        <v>624</v>
      </c>
      <c r="P182" s="19" t="s">
        <v>625</v>
      </c>
      <c r="Q182" s="21" t="str">
        <f t="shared" si="193"/>
        <v xml:space="preserve">superó todos los protocolos "admite errores y pide perdón" la DANA superó todos los protocolos</v>
      </c>
      <c r="R182" s="1">
        <v>0</v>
      </c>
      <c r="S182" s="19" t="s">
        <v>16</v>
      </c>
      <c r="T182" s="19" t="s">
        <v>32</v>
      </c>
      <c r="U182" s="19" t="s">
        <v>16</v>
      </c>
      <c r="V182" s="21" t="str">
        <f t="shared" si="194"/>
        <v>N/A</v>
      </c>
    </row>
    <row r="183" ht="29.100000000000001">
      <c r="A183">
        <v>1186</v>
      </c>
      <c r="B183" s="1" t="s">
        <v>344</v>
      </c>
      <c r="C183">
        <v>0</v>
      </c>
      <c r="D183" s="19" t="s">
        <v>16</v>
      </c>
      <c r="E183" s="2" t="s">
        <v>32</v>
      </c>
      <c r="F183" s="19" t="s">
        <v>16</v>
      </c>
      <c r="G183" s="21" t="str">
        <f t="shared" si="190"/>
        <v>N/A</v>
      </c>
      <c r="H183" s="12">
        <f t="shared" si="191"/>
        <v>0</v>
      </c>
      <c r="I183" s="19" t="s">
        <v>16</v>
      </c>
      <c r="J183" s="19" t="s">
        <v>32</v>
      </c>
      <c r="K183" s="19" t="s">
        <v>16</v>
      </c>
      <c r="L183" s="21" t="str">
        <f t="shared" si="192"/>
        <v>N/A</v>
      </c>
      <c r="M183" s="1">
        <v>0</v>
      </c>
      <c r="N183" s="19" t="s">
        <v>16</v>
      </c>
      <c r="O183" s="19" t="s">
        <v>626</v>
      </c>
      <c r="P183" s="19" t="s">
        <v>16</v>
      </c>
      <c r="Q183" s="21" t="str">
        <f t="shared" si="193"/>
        <v xml:space="preserve">"explicaciones del president"</v>
      </c>
      <c r="R183" s="1">
        <v>0</v>
      </c>
      <c r="S183" s="19" t="s">
        <v>16</v>
      </c>
      <c r="T183" s="19" t="s">
        <v>32</v>
      </c>
      <c r="U183" s="19" t="s">
        <v>16</v>
      </c>
      <c r="V183" s="21" t="str">
        <f t="shared" si="194"/>
        <v>N/A</v>
      </c>
    </row>
    <row r="184">
      <c r="A184">
        <v>1187</v>
      </c>
      <c r="B184" s="1" t="s">
        <v>345</v>
      </c>
      <c r="C184">
        <v>0</v>
      </c>
      <c r="D184" s="19" t="s">
        <v>16</v>
      </c>
      <c r="E184" s="2" t="s">
        <v>32</v>
      </c>
      <c r="F184" s="19" t="s">
        <v>16</v>
      </c>
      <c r="G184" s="21" t="str">
        <f t="shared" si="190"/>
        <v>N/A</v>
      </c>
      <c r="H184" s="12">
        <f t="shared" si="191"/>
        <v>0</v>
      </c>
      <c r="I184" s="19" t="s">
        <v>16</v>
      </c>
      <c r="J184" s="19" t="s">
        <v>32</v>
      </c>
      <c r="K184" s="19" t="s">
        <v>16</v>
      </c>
      <c r="L184" s="21" t="str">
        <f t="shared" si="192"/>
        <v>N/A</v>
      </c>
      <c r="M184" s="1">
        <v>0</v>
      </c>
      <c r="N184" s="19" t="s">
        <v>16</v>
      </c>
      <c r="O184" s="19" t="s">
        <v>32</v>
      </c>
      <c r="P184" s="19" t="s">
        <v>16</v>
      </c>
      <c r="Q184" s="21" t="str">
        <f t="shared" si="193"/>
        <v>N/A</v>
      </c>
      <c r="R184" s="1">
        <v>0</v>
      </c>
      <c r="S184" s="19" t="s">
        <v>16</v>
      </c>
      <c r="T184" s="19" t="s">
        <v>32</v>
      </c>
      <c r="U184" s="19" t="s">
        <v>16</v>
      </c>
      <c r="V184" s="21" t="str">
        <f t="shared" si="194"/>
        <v>N/A</v>
      </c>
    </row>
    <row r="185" ht="29.100000000000001">
      <c r="A185">
        <v>1190</v>
      </c>
      <c r="B185" s="1" t="s">
        <v>346</v>
      </c>
      <c r="C185">
        <v>0</v>
      </c>
      <c r="D185" s="19" t="s">
        <v>16</v>
      </c>
      <c r="E185" s="2" t="s">
        <v>32</v>
      </c>
      <c r="F185" s="19" t="s">
        <v>16</v>
      </c>
      <c r="G185" s="21" t="str">
        <f t="shared" si="190"/>
        <v>N/A</v>
      </c>
      <c r="H185" s="12">
        <f t="shared" si="191"/>
        <v>0</v>
      </c>
      <c r="I185" s="19" t="s">
        <v>16</v>
      </c>
      <c r="J185" s="19" t="s">
        <v>32</v>
      </c>
      <c r="K185" s="19" t="s">
        <v>16</v>
      </c>
      <c r="L185" s="21" t="str">
        <f t="shared" si="192"/>
        <v>N/A</v>
      </c>
      <c r="M185" s="1">
        <v>0</v>
      </c>
      <c r="N185" s="19" t="s">
        <v>16</v>
      </c>
      <c r="O185" s="19" t="s">
        <v>627</v>
      </c>
      <c r="P185" s="19" t="s">
        <v>16</v>
      </c>
      <c r="Q185" s="21" t="str">
        <f t="shared" si="193"/>
        <v xml:space="preserve">"Empresarios chinos ayudan"</v>
      </c>
      <c r="R185" s="1">
        <v>0</v>
      </c>
      <c r="S185" s="19" t="s">
        <v>16</v>
      </c>
      <c r="T185" s="19" t="s">
        <v>32</v>
      </c>
      <c r="U185" s="19" t="s">
        <v>16</v>
      </c>
      <c r="V185" s="21" t="str">
        <f t="shared" si="194"/>
        <v>N/A</v>
      </c>
    </row>
    <row r="186">
      <c r="A186">
        <v>1193</v>
      </c>
      <c r="B186" s="1" t="s">
        <v>347</v>
      </c>
      <c r="C186">
        <v>0</v>
      </c>
      <c r="D186" s="19" t="s">
        <v>628</v>
      </c>
      <c r="E186" s="2" t="s">
        <v>32</v>
      </c>
      <c r="F186" s="19" t="s">
        <v>16</v>
      </c>
      <c r="G186" s="21" t="str">
        <f t="shared" si="190"/>
        <v xml:space="preserve">Ranking N/A</v>
      </c>
      <c r="H186" s="12">
        <f t="shared" si="191"/>
        <v>0</v>
      </c>
      <c r="I186" s="19" t="s">
        <v>16</v>
      </c>
      <c r="J186" s="19" t="s">
        <v>32</v>
      </c>
      <c r="K186" s="19" t="s">
        <v>16</v>
      </c>
      <c r="L186" s="21" t="str">
        <f t="shared" si="192"/>
        <v>N/A</v>
      </c>
      <c r="M186" s="1">
        <v>0</v>
      </c>
      <c r="N186" s="19" t="s">
        <v>16</v>
      </c>
      <c r="O186" s="19" t="s">
        <v>32</v>
      </c>
      <c r="P186" s="19" t="s">
        <v>16</v>
      </c>
      <c r="Q186" s="21" t="str">
        <f t="shared" si="193"/>
        <v>N/A</v>
      </c>
      <c r="R186" s="1">
        <v>0</v>
      </c>
      <c r="S186" s="19" t="s">
        <v>16</v>
      </c>
      <c r="T186" s="19" t="s">
        <v>32</v>
      </c>
      <c r="U186" s="19" t="s">
        <v>16</v>
      </c>
      <c r="V186" s="21" t="str">
        <f t="shared" si="194"/>
        <v>N/A</v>
      </c>
    </row>
    <row r="187">
      <c r="A187">
        <v>1200</v>
      </c>
      <c r="B187" s="1" t="s">
        <v>348</v>
      </c>
      <c r="C187">
        <v>0</v>
      </c>
      <c r="D187" s="19" t="s">
        <v>16</v>
      </c>
      <c r="E187" s="2" t="s">
        <v>32</v>
      </c>
      <c r="F187" s="19" t="s">
        <v>16</v>
      </c>
      <c r="G187" s="21" t="str">
        <f t="shared" si="190"/>
        <v>N/A</v>
      </c>
      <c r="H187" s="12">
        <f t="shared" si="191"/>
        <v>0</v>
      </c>
      <c r="I187" s="19" t="s">
        <v>16</v>
      </c>
      <c r="J187" s="19" t="s">
        <v>32</v>
      </c>
      <c r="K187" s="19" t="s">
        <v>16</v>
      </c>
      <c r="L187" s="21" t="str">
        <f t="shared" si="192"/>
        <v>N/A</v>
      </c>
      <c r="M187" s="1">
        <v>0</v>
      </c>
      <c r="N187" s="19" t="s">
        <v>16</v>
      </c>
      <c r="O187" s="19" t="s">
        <v>32</v>
      </c>
      <c r="P187" s="19" t="s">
        <v>16</v>
      </c>
      <c r="Q187" s="21" t="str">
        <f t="shared" si="193"/>
        <v>N/A</v>
      </c>
      <c r="R187" s="1">
        <v>0</v>
      </c>
      <c r="S187" s="19" t="s">
        <v>16</v>
      </c>
      <c r="T187" s="19" t="s">
        <v>32</v>
      </c>
      <c r="U187" s="19" t="s">
        <v>16</v>
      </c>
      <c r="V187" s="21" t="str">
        <f t="shared" si="194"/>
        <v>N/A</v>
      </c>
    </row>
    <row r="188">
      <c r="A188">
        <v>1205</v>
      </c>
      <c r="B188" s="1" t="s">
        <v>349</v>
      </c>
      <c r="C188">
        <v>0</v>
      </c>
      <c r="D188" s="19" t="s">
        <v>16</v>
      </c>
      <c r="E188" s="2" t="s">
        <v>32</v>
      </c>
      <c r="F188" s="19" t="s">
        <v>16</v>
      </c>
      <c r="G188" s="21" t="str">
        <f t="shared" si="190"/>
        <v>N/A</v>
      </c>
      <c r="H188" s="12">
        <f t="shared" si="191"/>
        <v>0</v>
      </c>
      <c r="I188" s="19" t="s">
        <v>16</v>
      </c>
      <c r="J188" s="19" t="s">
        <v>32</v>
      </c>
      <c r="K188" s="19" t="s">
        <v>16</v>
      </c>
      <c r="L188" s="21" t="str">
        <f t="shared" si="192"/>
        <v>N/A</v>
      </c>
      <c r="M188" s="1">
        <v>0</v>
      </c>
      <c r="N188" s="19" t="s">
        <v>16</v>
      </c>
      <c r="O188" s="19" t="s">
        <v>32</v>
      </c>
      <c r="P188" s="19" t="s">
        <v>16</v>
      </c>
      <c r="Q188" s="21" t="str">
        <f t="shared" si="193"/>
        <v>N/A</v>
      </c>
      <c r="R188" s="1">
        <v>0</v>
      </c>
      <c r="S188" s="19" t="s">
        <v>16</v>
      </c>
      <c r="T188" s="19" t="s">
        <v>629</v>
      </c>
      <c r="U188" s="19" t="s">
        <v>16</v>
      </c>
      <c r="V188" s="21" t="str">
        <f t="shared" si="194"/>
        <v xml:space="preserve">"afronta la recuperación"</v>
      </c>
    </row>
    <row r="189">
      <c r="A189">
        <v>1206</v>
      </c>
      <c r="B189" s="1" t="s">
        <v>350</v>
      </c>
      <c r="C189">
        <v>0</v>
      </c>
      <c r="D189" s="19" t="s">
        <v>16</v>
      </c>
      <c r="E189" s="2" t="s">
        <v>294</v>
      </c>
      <c r="F189" s="19" t="s">
        <v>16</v>
      </c>
      <c r="G189" s="21" t="str">
        <f t="shared" si="190"/>
        <v>"devastación"</v>
      </c>
      <c r="H189" s="12">
        <f t="shared" si="191"/>
        <v>0</v>
      </c>
      <c r="I189" s="19" t="s">
        <v>16</v>
      </c>
      <c r="J189" s="19" t="s">
        <v>32</v>
      </c>
      <c r="K189" s="19" t="s">
        <v>16</v>
      </c>
      <c r="L189" s="21" t="str">
        <f t="shared" si="192"/>
        <v>N/A</v>
      </c>
      <c r="M189" s="1">
        <v>0</v>
      </c>
      <c r="N189" s="19" t="s">
        <v>16</v>
      </c>
      <c r="O189" s="19" t="s">
        <v>32</v>
      </c>
      <c r="P189" s="19" t="s">
        <v>16</v>
      </c>
      <c r="Q189" s="21" t="str">
        <f t="shared" si="193"/>
        <v>N/A</v>
      </c>
      <c r="R189" s="1">
        <v>0</v>
      </c>
      <c r="S189" s="19" t="s">
        <v>16</v>
      </c>
      <c r="T189" s="19" t="s">
        <v>32</v>
      </c>
      <c r="U189" s="19" t="s">
        <v>16</v>
      </c>
      <c r="V189" s="21" t="str">
        <f t="shared" si="194"/>
        <v>N/A</v>
      </c>
    </row>
    <row r="190" ht="29.100000000000001">
      <c r="A190">
        <v>1213</v>
      </c>
      <c r="B190" s="1" t="s">
        <v>352</v>
      </c>
      <c r="C190">
        <v>0</v>
      </c>
      <c r="D190" s="19" t="s">
        <v>16</v>
      </c>
      <c r="E190" s="2" t="s">
        <v>20</v>
      </c>
      <c r="F190" s="19" t="s">
        <v>16</v>
      </c>
      <c r="G190" s="21" t="str">
        <f t="shared" si="190"/>
        <v>"catástrofe"</v>
      </c>
      <c r="H190" s="12">
        <f t="shared" si="191"/>
        <v>0</v>
      </c>
      <c r="I190" s="19" t="s">
        <v>16</v>
      </c>
      <c r="J190" s="19" t="s">
        <v>32</v>
      </c>
      <c r="K190" s="19" t="s">
        <v>16</v>
      </c>
      <c r="L190" s="21" t="str">
        <f t="shared" si="192"/>
        <v>N/A</v>
      </c>
      <c r="M190" s="1">
        <v>0</v>
      </c>
      <c r="N190" s="19" t="s">
        <v>16</v>
      </c>
      <c r="O190" s="19" t="s">
        <v>32</v>
      </c>
      <c r="P190" s="19" t="s">
        <v>16</v>
      </c>
      <c r="Q190" s="21" t="str">
        <f t="shared" si="193"/>
        <v>N/A</v>
      </c>
      <c r="R190" s="1">
        <v>1</v>
      </c>
      <c r="S190" s="19" t="s">
        <v>630</v>
      </c>
      <c r="T190" s="19" t="s">
        <v>631</v>
      </c>
      <c r="U190" s="19" t="s">
        <v>16</v>
      </c>
      <c r="V190" s="21" t="str">
        <f t="shared" si="194"/>
        <v xml:space="preserve">continúan desaparecidas "continúan desaparecidas"</v>
      </c>
    </row>
    <row r="191" ht="29.100000000000001">
      <c r="A191">
        <v>1226</v>
      </c>
      <c r="B191" s="1" t="s">
        <v>354</v>
      </c>
      <c r="C191">
        <v>0</v>
      </c>
      <c r="D191" s="19" t="s">
        <v>16</v>
      </c>
      <c r="E191" s="2" t="s">
        <v>32</v>
      </c>
      <c r="F191" s="19" t="s">
        <v>16</v>
      </c>
      <c r="G191" s="21" t="str">
        <f t="shared" si="190"/>
        <v>N/A</v>
      </c>
      <c r="H191" s="12">
        <f t="shared" si="191"/>
        <v>0</v>
      </c>
      <c r="I191" s="19" t="s">
        <v>632</v>
      </c>
      <c r="J191" s="19" t="s">
        <v>446</v>
      </c>
      <c r="K191" s="19" t="s">
        <v>16</v>
      </c>
      <c r="L191" s="21" t="str">
        <f t="shared" si="192"/>
        <v xml:space="preserve">suspende las clases "suspende las clases"</v>
      </c>
      <c r="M191" s="1">
        <v>0</v>
      </c>
      <c r="N191" s="19" t="s">
        <v>16</v>
      </c>
      <c r="O191" s="19" t="s">
        <v>32</v>
      </c>
      <c r="P191" s="19" t="s">
        <v>16</v>
      </c>
      <c r="Q191" s="21" t="str">
        <f t="shared" si="193"/>
        <v>N/A</v>
      </c>
      <c r="R191" s="1">
        <v>0</v>
      </c>
      <c r="S191" s="19" t="s">
        <v>16</v>
      </c>
      <c r="T191" s="19" t="s">
        <v>514</v>
      </c>
      <c r="U191" s="19" t="s">
        <v>16</v>
      </c>
      <c r="V191" s="21" t="str">
        <f t="shared" si="194"/>
        <v xml:space="preserve">"nueva DANA"</v>
      </c>
    </row>
    <row r="192" ht="29.100000000000001">
      <c r="A192">
        <v>1232</v>
      </c>
      <c r="B192" s="1" t="s">
        <v>355</v>
      </c>
      <c r="C192">
        <v>0</v>
      </c>
      <c r="D192" s="19" t="s">
        <v>16</v>
      </c>
      <c r="E192" s="2" t="s">
        <v>32</v>
      </c>
      <c r="F192" s="19" t="s">
        <v>16</v>
      </c>
      <c r="G192" s="21" t="str">
        <f t="shared" si="190"/>
        <v>N/A</v>
      </c>
      <c r="H192" s="12">
        <f t="shared" si="191"/>
        <v>0</v>
      </c>
      <c r="I192" s="19" t="s">
        <v>16</v>
      </c>
      <c r="J192" s="19" t="s">
        <v>32</v>
      </c>
      <c r="K192" s="19" t="s">
        <v>16</v>
      </c>
      <c r="L192" s="21" t="str">
        <f t="shared" si="192"/>
        <v>N/A</v>
      </c>
      <c r="M192" s="1">
        <v>0</v>
      </c>
      <c r="N192" s="19" t="s">
        <v>16</v>
      </c>
      <c r="O192" s="19" t="s">
        <v>32</v>
      </c>
      <c r="P192" s="19" t="s">
        <v>16</v>
      </c>
      <c r="Q192" s="21" t="str">
        <f t="shared" si="193"/>
        <v>N/A</v>
      </c>
      <c r="R192" s="1">
        <v>1</v>
      </c>
      <c r="S192" s="19" t="s">
        <v>633</v>
      </c>
      <c r="T192" s="19" t="s">
        <v>634</v>
      </c>
      <c r="U192" s="19" t="s">
        <v>16</v>
      </c>
      <c r="V192" s="21" t="str">
        <f t="shared" si="194"/>
        <v xml:space="preserve">a cuatro meses de Fallas "a cuatro meses de Fallas"</v>
      </c>
    </row>
    <row r="193" ht="57.950000000000003">
      <c r="A193">
        <v>1235</v>
      </c>
      <c r="B193" s="1" t="s">
        <v>357</v>
      </c>
      <c r="C193">
        <v>0</v>
      </c>
      <c r="D193" s="19" t="s">
        <v>16</v>
      </c>
      <c r="E193" s="2" t="s">
        <v>32</v>
      </c>
      <c r="F193" s="19" t="s">
        <v>16</v>
      </c>
      <c r="G193" s="21" t="str">
        <f t="shared" si="190"/>
        <v>N/A</v>
      </c>
      <c r="H193" s="12">
        <f t="shared" si="191"/>
        <v>0</v>
      </c>
      <c r="I193" s="19" t="s">
        <v>16</v>
      </c>
      <c r="J193" s="19" t="s">
        <v>32</v>
      </c>
      <c r="K193" s="19" t="s">
        <v>16</v>
      </c>
      <c r="L193" s="21" t="str">
        <f t="shared" si="192"/>
        <v>N/A</v>
      </c>
      <c r="M193" s="1">
        <v>1</v>
      </c>
      <c r="N193" s="19" t="s">
        <v>16</v>
      </c>
      <c r="O193" s="19" t="s">
        <v>635</v>
      </c>
      <c r="P193" s="19" t="s">
        <v>358</v>
      </c>
      <c r="Q193" s="21" t="str">
        <f t="shared" si="193"/>
        <v xml:space="preserve">"sin saber si quedaban personas dentro" sin saber si quedaban personas dentro</v>
      </c>
      <c r="R193" s="1">
        <v>0</v>
      </c>
      <c r="S193" s="19" t="s">
        <v>16</v>
      </c>
      <c r="T193" s="19" t="s">
        <v>32</v>
      </c>
      <c r="U193" s="19" t="s">
        <v>16</v>
      </c>
      <c r="V193" s="21" t="str">
        <f t="shared" si="194"/>
        <v>N/A</v>
      </c>
    </row>
    <row r="194" ht="29.100000000000001">
      <c r="A194">
        <v>1247</v>
      </c>
      <c r="B194" s="1" t="s">
        <v>359</v>
      </c>
      <c r="C194">
        <v>0</v>
      </c>
      <c r="D194" s="19" t="s">
        <v>16</v>
      </c>
      <c r="E194" s="2" t="s">
        <v>32</v>
      </c>
      <c r="F194" s="19" t="s">
        <v>16</v>
      </c>
      <c r="G194" s="21" t="str">
        <f t="shared" si="190"/>
        <v>N/A</v>
      </c>
      <c r="H194" s="12">
        <f t="shared" si="191"/>
        <v>0</v>
      </c>
      <c r="I194" s="19" t="s">
        <v>16</v>
      </c>
      <c r="J194" s="19" t="s">
        <v>32</v>
      </c>
      <c r="K194" s="19" t="s">
        <v>16</v>
      </c>
      <c r="L194" s="21" t="str">
        <f t="shared" si="192"/>
        <v>N/A</v>
      </c>
      <c r="M194" s="1">
        <v>0</v>
      </c>
      <c r="N194" s="19" t="s">
        <v>16</v>
      </c>
      <c r="O194" s="19" t="s">
        <v>32</v>
      </c>
      <c r="P194" s="19" t="s">
        <v>16</v>
      </c>
      <c r="Q194" s="21" t="str">
        <f t="shared" si="193"/>
        <v>N/A</v>
      </c>
      <c r="R194" s="1">
        <v>0</v>
      </c>
      <c r="S194" s="19" t="s">
        <v>16</v>
      </c>
      <c r="T194" s="19" t="s">
        <v>32</v>
      </c>
      <c r="U194" s="19" t="s">
        <v>16</v>
      </c>
      <c r="V194" s="21" t="str">
        <f t="shared" si="194"/>
        <v>N/A</v>
      </c>
    </row>
    <row r="195" ht="29.100000000000001">
      <c r="A195">
        <v>1248</v>
      </c>
      <c r="B195" s="1" t="s">
        <v>360</v>
      </c>
      <c r="C195">
        <v>0</v>
      </c>
      <c r="D195" s="19" t="s">
        <v>16</v>
      </c>
      <c r="E195" s="2" t="s">
        <v>361</v>
      </c>
      <c r="F195" s="19" t="s">
        <v>16</v>
      </c>
      <c r="G195" s="21" t="str">
        <f t="shared" si="190"/>
        <v xml:space="preserve">"tormentas destructivas"</v>
      </c>
      <c r="H195" s="12">
        <f t="shared" si="191"/>
        <v>0</v>
      </c>
      <c r="I195" s="19" t="s">
        <v>16</v>
      </c>
      <c r="J195" s="19" t="s">
        <v>32</v>
      </c>
      <c r="K195" s="19" t="s">
        <v>16</v>
      </c>
      <c r="L195" s="21" t="str">
        <f t="shared" si="192"/>
        <v>N/A</v>
      </c>
      <c r="M195" s="1">
        <v>0</v>
      </c>
      <c r="N195" s="19" t="s">
        <v>16</v>
      </c>
      <c r="O195" s="19" t="s">
        <v>32</v>
      </c>
      <c r="P195" s="19" t="s">
        <v>16</v>
      </c>
      <c r="Q195" s="21" t="str">
        <f t="shared" si="193"/>
        <v>N/A</v>
      </c>
      <c r="R195" s="1">
        <v>1</v>
      </c>
      <c r="S195" s="19" t="s">
        <v>636</v>
      </c>
      <c r="T195" s="19" t="s">
        <v>637</v>
      </c>
      <c r="U195" s="19" t="s">
        <v>16</v>
      </c>
      <c r="V195" s="21" t="str">
        <f t="shared" si="194"/>
        <v xml:space="preserve">puede provocar tormentas destructivas "puede provocar"</v>
      </c>
    </row>
    <row r="196" ht="43.5">
      <c r="A196">
        <v>1256</v>
      </c>
      <c r="B196" s="1" t="s">
        <v>362</v>
      </c>
      <c r="C196">
        <v>0</v>
      </c>
      <c r="D196" s="19" t="s">
        <v>16</v>
      </c>
      <c r="E196" s="2" t="s">
        <v>32</v>
      </c>
      <c r="F196" s="19" t="s">
        <v>16</v>
      </c>
      <c r="G196" s="21" t="str">
        <f t="shared" si="190"/>
        <v>N/A</v>
      </c>
      <c r="H196" s="12">
        <f t="shared" si="191"/>
        <v>0</v>
      </c>
      <c r="I196" s="19" t="s">
        <v>16</v>
      </c>
      <c r="J196" s="19" t="s">
        <v>32</v>
      </c>
      <c r="K196" s="19" t="s">
        <v>16</v>
      </c>
      <c r="L196" s="21" t="str">
        <f t="shared" si="192"/>
        <v>N/A</v>
      </c>
      <c r="M196" s="1">
        <v>0</v>
      </c>
      <c r="N196" s="19" t="s">
        <v>16</v>
      </c>
      <c r="O196" s="19" t="s">
        <v>32</v>
      </c>
      <c r="P196" s="19" t="s">
        <v>16</v>
      </c>
      <c r="Q196" s="21" t="str">
        <f t="shared" si="193"/>
        <v>N/A</v>
      </c>
      <c r="R196" s="1">
        <v>1</v>
      </c>
      <c r="S196" s="19" t="s">
        <v>638</v>
      </c>
      <c r="T196" s="19" t="s">
        <v>639</v>
      </c>
      <c r="U196" s="19" t="s">
        <v>638</v>
      </c>
      <c r="V196" s="21" t="str">
        <f t="shared" si="194"/>
        <v xml:space="preserve">se podrían producir en otras zonas "se podrían producir en otras zonas"</v>
      </c>
    </row>
    <row r="197">
      <c r="A197">
        <v>1258</v>
      </c>
      <c r="B197" s="1" t="s">
        <v>365</v>
      </c>
      <c r="C197" s="12">
        <v>0</v>
      </c>
      <c r="D197" s="19" t="s">
        <v>16</v>
      </c>
      <c r="E197" s="2" t="s">
        <v>32</v>
      </c>
      <c r="F197" s="19" t="s">
        <v>16</v>
      </c>
      <c r="G197" s="21" t="str">
        <f t="shared" si="190"/>
        <v>N/A</v>
      </c>
      <c r="H197" s="12">
        <f t="shared" si="191"/>
        <v>0</v>
      </c>
      <c r="I197" s="19" t="s">
        <v>16</v>
      </c>
      <c r="J197" s="19" t="s">
        <v>32</v>
      </c>
      <c r="K197" s="19" t="s">
        <v>16</v>
      </c>
      <c r="L197" s="21" t="str">
        <f t="shared" si="192"/>
        <v>N/A</v>
      </c>
      <c r="M197" s="22">
        <v>0</v>
      </c>
      <c r="N197" s="19" t="s">
        <v>16</v>
      </c>
      <c r="O197" s="19" t="s">
        <v>32</v>
      </c>
      <c r="P197" s="19" t="s">
        <v>16</v>
      </c>
      <c r="Q197" s="21" t="str">
        <f t="shared" si="193"/>
        <v>N/A</v>
      </c>
      <c r="R197" s="21">
        <v>0</v>
      </c>
      <c r="S197" s="19" t="s">
        <v>16</v>
      </c>
      <c r="T197" s="19" t="s">
        <v>32</v>
      </c>
      <c r="U197" s="19" t="s">
        <v>16</v>
      </c>
      <c r="V197" s="21" t="str">
        <f t="shared" si="194"/>
        <v>N/A</v>
      </c>
    </row>
    <row r="198" ht="29.100000000000001">
      <c r="A198">
        <v>1261</v>
      </c>
      <c r="B198" s="1" t="s">
        <v>366</v>
      </c>
      <c r="C198">
        <v>0</v>
      </c>
      <c r="D198" s="19" t="s">
        <v>16</v>
      </c>
      <c r="E198" s="2" t="s">
        <v>32</v>
      </c>
      <c r="F198" s="19" t="s">
        <v>16</v>
      </c>
      <c r="G198" s="21" t="str">
        <f t="shared" si="190"/>
        <v>N/A</v>
      </c>
      <c r="H198" s="12">
        <f t="shared" si="191"/>
        <v>0</v>
      </c>
      <c r="I198" s="19" t="s">
        <v>16</v>
      </c>
      <c r="J198" s="19" t="s">
        <v>32</v>
      </c>
      <c r="K198" s="19" t="s">
        <v>16</v>
      </c>
      <c r="L198" s="21" t="str">
        <f t="shared" si="192"/>
        <v>N/A</v>
      </c>
      <c r="M198" s="1">
        <v>0</v>
      </c>
      <c r="N198" s="19" t="s">
        <v>16</v>
      </c>
      <c r="O198" s="19" t="s">
        <v>32</v>
      </c>
      <c r="P198" s="19" t="s">
        <v>16</v>
      </c>
      <c r="Q198" s="21" t="str">
        <f t="shared" si="193"/>
        <v>N/A</v>
      </c>
      <c r="R198" s="1">
        <v>0</v>
      </c>
      <c r="S198" s="19" t="s">
        <v>16</v>
      </c>
      <c r="T198" s="19" t="s">
        <v>32</v>
      </c>
      <c r="U198" s="19" t="s">
        <v>16</v>
      </c>
      <c r="V198" s="21" t="str">
        <f t="shared" si="194"/>
        <v>N/A</v>
      </c>
    </row>
    <row r="199" ht="29.100000000000001">
      <c r="A199">
        <v>1270</v>
      </c>
      <c r="B199" s="1" t="s">
        <v>367</v>
      </c>
      <c r="C199">
        <v>0</v>
      </c>
      <c r="D199" s="19" t="s">
        <v>310</v>
      </c>
      <c r="E199" s="2" t="s">
        <v>32</v>
      </c>
      <c r="F199" s="19" t="s">
        <v>16</v>
      </c>
      <c r="G199" s="21" t="str">
        <f t="shared" si="190"/>
        <v xml:space="preserve">catástrofes anunciadas N/A</v>
      </c>
      <c r="H199" s="12">
        <f t="shared" si="191"/>
        <v>0</v>
      </c>
      <c r="I199" s="19" t="s">
        <v>16</v>
      </c>
      <c r="J199" s="19" t="s">
        <v>32</v>
      </c>
      <c r="K199" s="19" t="s">
        <v>16</v>
      </c>
      <c r="L199" s="21" t="str">
        <f t="shared" si="192"/>
        <v>N/A</v>
      </c>
      <c r="M199" s="1">
        <v>0</v>
      </c>
      <c r="N199" s="19" t="s">
        <v>16</v>
      </c>
      <c r="O199" s="19" t="s">
        <v>368</v>
      </c>
      <c r="P199" s="19" t="s">
        <v>16</v>
      </c>
      <c r="Q199" s="21" t="str">
        <f t="shared" si="193"/>
        <v xml:space="preserve">"catástrofes anunciadas"</v>
      </c>
      <c r="R199" s="1">
        <v>0</v>
      </c>
      <c r="S199" s="19" t="s">
        <v>640</v>
      </c>
      <c r="T199" s="19" t="s">
        <v>32</v>
      </c>
      <c r="U199" s="19" t="s">
        <v>16</v>
      </c>
      <c r="V199" s="21" t="str">
        <f t="shared" si="194"/>
        <v xml:space="preserve">anunciadas N/A</v>
      </c>
    </row>
    <row r="200" ht="29.100000000000001">
      <c r="A200">
        <v>1282</v>
      </c>
      <c r="B200" s="1" t="s">
        <v>369</v>
      </c>
      <c r="C200">
        <v>0</v>
      </c>
      <c r="D200" s="19" t="s">
        <v>16</v>
      </c>
      <c r="E200" s="2" t="s">
        <v>32</v>
      </c>
      <c r="F200" s="19" t="s">
        <v>16</v>
      </c>
      <c r="G200" s="21" t="str">
        <f t="shared" si="190"/>
        <v>N/A</v>
      </c>
      <c r="H200" s="12">
        <f t="shared" si="191"/>
        <v>0</v>
      </c>
      <c r="I200" s="19" t="s">
        <v>16</v>
      </c>
      <c r="J200" s="19" t="s">
        <v>641</v>
      </c>
      <c r="K200" s="19" t="s">
        <v>16</v>
      </c>
      <c r="L200" s="21" t="str">
        <f t="shared" si="192"/>
        <v xml:space="preserve">"atrapados en Ikea"</v>
      </c>
      <c r="M200" s="1">
        <v>1</v>
      </c>
      <c r="N200" s="19" t="s">
        <v>642</v>
      </c>
      <c r="O200" s="19" t="s">
        <v>32</v>
      </c>
      <c r="P200" s="19" t="s">
        <v>643</v>
      </c>
      <c r="Q200" s="21" t="str">
        <f t="shared" si="193"/>
        <v xml:space="preserve">atrapados N/A atrapados en Ikea</v>
      </c>
      <c r="R200" s="1">
        <v>0</v>
      </c>
      <c r="S200" s="19" t="s">
        <v>16</v>
      </c>
      <c r="T200" s="19" t="s">
        <v>32</v>
      </c>
      <c r="U200" s="19" t="s">
        <v>16</v>
      </c>
      <c r="V200" s="21" t="str">
        <f t="shared" si="194"/>
        <v>N/A</v>
      </c>
    </row>
    <row r="201">
      <c r="A201">
        <v>1340</v>
      </c>
      <c r="B201" s="1" t="s">
        <v>371</v>
      </c>
      <c r="C201">
        <v>0</v>
      </c>
      <c r="D201" s="19" t="s">
        <v>16</v>
      </c>
      <c r="E201" s="2" t="s">
        <v>32</v>
      </c>
      <c r="F201" s="19" t="s">
        <v>16</v>
      </c>
      <c r="G201" s="21" t="str">
        <f t="shared" si="190"/>
        <v>N/A</v>
      </c>
      <c r="H201" s="12">
        <f t="shared" si="191"/>
        <v>0</v>
      </c>
      <c r="I201" s="19" t="s">
        <v>16</v>
      </c>
      <c r="J201" s="19" t="s">
        <v>32</v>
      </c>
      <c r="K201" s="19" t="s">
        <v>16</v>
      </c>
      <c r="L201" s="21" t="str">
        <f t="shared" si="192"/>
        <v>N/A</v>
      </c>
      <c r="M201" s="1">
        <v>0</v>
      </c>
      <c r="N201" s="19" t="s">
        <v>16</v>
      </c>
      <c r="O201" s="19" t="s">
        <v>32</v>
      </c>
      <c r="P201" s="19" t="s">
        <v>16</v>
      </c>
      <c r="Q201" s="21" t="str">
        <f t="shared" si="193"/>
        <v>N/A</v>
      </c>
      <c r="R201" s="1">
        <v>0</v>
      </c>
      <c r="S201" s="19" t="s">
        <v>16</v>
      </c>
      <c r="T201" s="19" t="s">
        <v>32</v>
      </c>
      <c r="U201" s="19" t="s">
        <v>16</v>
      </c>
      <c r="V201" s="21" t="str">
        <f t="shared" si="194"/>
        <v>N/A</v>
      </c>
    </row>
    <row r="202">
      <c r="C202">
        <v>7</v>
      </c>
      <c r="H202">
        <v>5</v>
      </c>
      <c r="M202" s="1">
        <v>12</v>
      </c>
      <c r="R202" s="1">
        <v>8</v>
      </c>
    </row>
    <row r="203">
      <c r="C203">
        <v>0.14000000000000001</v>
      </c>
      <c r="H203">
        <v>0.10000000000000001</v>
      </c>
      <c r="M203" s="1">
        <v>0.23999999999999999</v>
      </c>
      <c r="R203" s="1">
        <v>0.16</v>
      </c>
    </row>
  </sheetData>
  <sortState ref="A2:V203">
    <sortCondition ref="A2:A203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2" zoomScale="100" workbookViewId="0">
      <selection activeCell="A2" activeCellId="0" sqref="A2"/>
    </sheetView>
  </sheetViews>
  <sheetFormatPr defaultColWidth="11.42578125" defaultRowHeight="14.25"/>
  <cols>
    <col customWidth="1" min="2" max="2" style="1" width="96.140625"/>
    <col bestFit="1" customWidth="1" min="3" max="3" style="1" width="19.57421875"/>
    <col customWidth="1" min="4" max="4" style="1" width="16.140625"/>
    <col customWidth="1" min="5" max="5" style="1" width="18.140625"/>
    <col customWidth="1" min="6" max="6" style="25" width="28"/>
  </cols>
  <sheetData>
    <row r="1">
      <c r="A1" s="26" t="s">
        <v>0</v>
      </c>
      <c r="B1" s="27" t="s">
        <v>1</v>
      </c>
      <c r="C1" s="27" t="s">
        <v>414</v>
      </c>
      <c r="D1" s="27" t="s">
        <v>418</v>
      </c>
      <c r="E1" s="27" t="s">
        <v>422</v>
      </c>
      <c r="F1" s="28" t="s">
        <v>426</v>
      </c>
    </row>
    <row r="2" ht="57.950000000000003">
      <c r="A2" s="29">
        <v>60</v>
      </c>
      <c r="B2" s="30" t="s">
        <v>15</v>
      </c>
      <c r="C2" s="30" t="s">
        <v>644</v>
      </c>
      <c r="D2" s="30" t="s">
        <v>16</v>
      </c>
      <c r="E2" s="30" t="s">
        <v>16</v>
      </c>
      <c r="F2" s="31" t="s">
        <v>16</v>
      </c>
    </row>
    <row r="3">
      <c r="A3" s="29">
        <v>67</v>
      </c>
      <c r="B3" s="30" t="s">
        <v>19</v>
      </c>
      <c r="C3" s="30" t="s">
        <v>645</v>
      </c>
      <c r="D3" s="30" t="s">
        <v>16</v>
      </c>
      <c r="E3" s="30" t="s">
        <v>16</v>
      </c>
      <c r="F3" s="31" t="s">
        <v>16</v>
      </c>
    </row>
    <row r="4" ht="43.5">
      <c r="A4" s="29">
        <v>69</v>
      </c>
      <c r="B4" s="30" t="s">
        <v>21</v>
      </c>
      <c r="C4" s="30" t="s">
        <v>646</v>
      </c>
      <c r="D4" s="30" t="s">
        <v>16</v>
      </c>
      <c r="E4" s="30" t="s">
        <v>16</v>
      </c>
      <c r="F4" s="31" t="s">
        <v>16</v>
      </c>
    </row>
    <row r="5" ht="29.100000000000001">
      <c r="A5" s="29">
        <v>72</v>
      </c>
      <c r="B5" s="30" t="s">
        <v>24</v>
      </c>
      <c r="C5" s="30" t="s">
        <v>647</v>
      </c>
      <c r="D5" s="30" t="s">
        <v>16</v>
      </c>
      <c r="E5" s="30" t="s">
        <v>16</v>
      </c>
      <c r="F5" s="31" t="s">
        <v>16</v>
      </c>
    </row>
    <row r="6" ht="57.950000000000003">
      <c r="A6" s="29">
        <v>86</v>
      </c>
      <c r="B6" s="30" t="s">
        <v>27</v>
      </c>
      <c r="C6" s="30" t="s">
        <v>648</v>
      </c>
      <c r="D6" s="30" t="s">
        <v>16</v>
      </c>
      <c r="E6" s="30" t="s">
        <v>16</v>
      </c>
      <c r="F6" s="31" t="s">
        <v>16</v>
      </c>
    </row>
    <row r="7" ht="72.599999999999994">
      <c r="A7" s="29">
        <v>99</v>
      </c>
      <c r="B7" s="30" t="s">
        <v>31</v>
      </c>
      <c r="C7" s="30" t="s">
        <v>16</v>
      </c>
      <c r="D7" s="30" t="s">
        <v>16</v>
      </c>
      <c r="E7" s="30" t="s">
        <v>16</v>
      </c>
      <c r="F7" s="31" t="s">
        <v>649</v>
      </c>
    </row>
    <row r="8">
      <c r="A8" s="29">
        <v>107</v>
      </c>
      <c r="B8" s="30" t="s">
        <v>33</v>
      </c>
      <c r="C8" s="30" t="s">
        <v>16</v>
      </c>
      <c r="D8" s="30" t="s">
        <v>16</v>
      </c>
      <c r="E8" s="30" t="s">
        <v>16</v>
      </c>
      <c r="F8" s="31" t="s">
        <v>16</v>
      </c>
    </row>
    <row r="9" ht="57.950000000000003">
      <c r="A9" s="29">
        <v>110</v>
      </c>
      <c r="B9" s="30" t="s">
        <v>35</v>
      </c>
      <c r="C9" s="30" t="s">
        <v>16</v>
      </c>
      <c r="D9" s="30" t="s">
        <v>650</v>
      </c>
      <c r="E9" s="30" t="s">
        <v>16</v>
      </c>
      <c r="F9" s="31" t="s">
        <v>16</v>
      </c>
    </row>
    <row r="10">
      <c r="A10" s="29">
        <v>111</v>
      </c>
      <c r="B10" s="30" t="s">
        <v>36</v>
      </c>
      <c r="C10" s="30" t="s">
        <v>16</v>
      </c>
      <c r="D10" s="30" t="s">
        <v>16</v>
      </c>
      <c r="E10" s="30" t="s">
        <v>16</v>
      </c>
      <c r="F10" s="31" t="s">
        <v>16</v>
      </c>
    </row>
    <row r="11" ht="43.5">
      <c r="A11" s="29">
        <v>121</v>
      </c>
      <c r="B11" s="30" t="s">
        <v>38</v>
      </c>
      <c r="C11" s="30" t="s">
        <v>16</v>
      </c>
      <c r="D11" s="30" t="s">
        <v>16</v>
      </c>
      <c r="E11" s="30" t="s">
        <v>651</v>
      </c>
      <c r="F11" s="31" t="s">
        <v>16</v>
      </c>
    </row>
    <row r="12">
      <c r="A12" s="29">
        <v>127</v>
      </c>
      <c r="B12" s="30" t="s">
        <v>39</v>
      </c>
      <c r="C12" s="30" t="s">
        <v>16</v>
      </c>
      <c r="D12" s="30" t="s">
        <v>16</v>
      </c>
      <c r="E12" s="30" t="s">
        <v>16</v>
      </c>
      <c r="F12" s="31" t="s">
        <v>16</v>
      </c>
    </row>
    <row r="13">
      <c r="A13" s="29">
        <v>129</v>
      </c>
      <c r="B13" s="30" t="s">
        <v>40</v>
      </c>
      <c r="C13" s="30" t="s">
        <v>16</v>
      </c>
      <c r="D13" s="30" t="s">
        <v>16</v>
      </c>
      <c r="E13" s="30" t="s">
        <v>16</v>
      </c>
      <c r="F13" s="31" t="s">
        <v>16</v>
      </c>
    </row>
    <row r="14" ht="87">
      <c r="A14" s="29">
        <v>133</v>
      </c>
      <c r="B14" s="30" t="s">
        <v>41</v>
      </c>
      <c r="C14" s="30" t="s">
        <v>652</v>
      </c>
      <c r="D14" s="30" t="s">
        <v>16</v>
      </c>
      <c r="E14" s="30" t="s">
        <v>653</v>
      </c>
      <c r="F14" s="31" t="s">
        <v>16</v>
      </c>
    </row>
    <row r="15" ht="29.100000000000001">
      <c r="A15" s="29">
        <v>135</v>
      </c>
      <c r="B15" s="30" t="s">
        <v>45</v>
      </c>
      <c r="C15" s="30" t="s">
        <v>16</v>
      </c>
      <c r="D15" s="30" t="s">
        <v>16</v>
      </c>
      <c r="E15" s="30" t="s">
        <v>16</v>
      </c>
      <c r="F15" s="31" t="s">
        <v>16</v>
      </c>
    </row>
    <row r="16" ht="29.100000000000001">
      <c r="A16" s="29">
        <v>146</v>
      </c>
      <c r="B16" s="30" t="s">
        <v>47</v>
      </c>
      <c r="C16" s="30" t="s">
        <v>16</v>
      </c>
      <c r="D16" s="30" t="s">
        <v>16</v>
      </c>
      <c r="E16" s="30" t="s">
        <v>16</v>
      </c>
      <c r="F16" s="31" t="s">
        <v>16</v>
      </c>
    </row>
    <row r="17" ht="43.5">
      <c r="A17" s="29">
        <v>152</v>
      </c>
      <c r="B17" s="30" t="s">
        <v>49</v>
      </c>
      <c r="C17" s="30" t="s">
        <v>654</v>
      </c>
      <c r="D17" s="30" t="s">
        <v>16</v>
      </c>
      <c r="E17" s="30" t="s">
        <v>16</v>
      </c>
      <c r="F17" s="31" t="s">
        <v>16</v>
      </c>
    </row>
    <row r="18">
      <c r="A18" s="29">
        <v>165</v>
      </c>
      <c r="B18" s="30" t="s">
        <v>51</v>
      </c>
      <c r="C18" s="30" t="s">
        <v>655</v>
      </c>
      <c r="D18" s="30" t="s">
        <v>16</v>
      </c>
      <c r="E18" s="30" t="s">
        <v>16</v>
      </c>
      <c r="F18" s="31" t="s">
        <v>16</v>
      </c>
    </row>
    <row r="19" ht="29.100000000000001">
      <c r="A19" s="29">
        <v>166</v>
      </c>
      <c r="B19" s="30" t="s">
        <v>54</v>
      </c>
      <c r="C19" s="30" t="s">
        <v>16</v>
      </c>
      <c r="D19" s="30" t="s">
        <v>16</v>
      </c>
      <c r="E19" s="30" t="s">
        <v>16</v>
      </c>
      <c r="F19" s="31" t="s">
        <v>656</v>
      </c>
    </row>
    <row r="20" ht="101.45">
      <c r="A20" s="29">
        <v>167</v>
      </c>
      <c r="B20" s="30" t="s">
        <v>55</v>
      </c>
      <c r="C20" s="30" t="s">
        <v>657</v>
      </c>
      <c r="D20" s="30" t="s">
        <v>658</v>
      </c>
      <c r="E20" s="30" t="s">
        <v>16</v>
      </c>
      <c r="F20" s="31" t="s">
        <v>16</v>
      </c>
    </row>
    <row r="21" ht="101.45">
      <c r="A21" s="29">
        <v>173</v>
      </c>
      <c r="B21" s="30" t="s">
        <v>59</v>
      </c>
      <c r="C21" s="30" t="s">
        <v>16</v>
      </c>
      <c r="D21" s="30" t="s">
        <v>16</v>
      </c>
      <c r="E21" s="30" t="s">
        <v>659</v>
      </c>
      <c r="F21" s="31" t="s">
        <v>16</v>
      </c>
    </row>
    <row r="22" ht="43.5">
      <c r="A22" s="29">
        <v>176</v>
      </c>
      <c r="B22" s="30" t="s">
        <v>61</v>
      </c>
      <c r="C22" s="30" t="s">
        <v>16</v>
      </c>
      <c r="D22" s="30" t="s">
        <v>660</v>
      </c>
      <c r="E22" s="30" t="s">
        <v>16</v>
      </c>
      <c r="F22" s="31" t="s">
        <v>661</v>
      </c>
    </row>
    <row r="23" ht="101.45">
      <c r="A23" s="29">
        <v>180</v>
      </c>
      <c r="B23" s="30" t="s">
        <v>63</v>
      </c>
      <c r="C23" s="30" t="s">
        <v>16</v>
      </c>
      <c r="D23" s="30" t="s">
        <v>16</v>
      </c>
      <c r="E23" s="30" t="s">
        <v>662</v>
      </c>
      <c r="F23" s="31" t="s">
        <v>16</v>
      </c>
    </row>
    <row r="24" ht="29.100000000000001">
      <c r="A24" s="29">
        <v>181</v>
      </c>
      <c r="B24" s="30" t="s">
        <v>64</v>
      </c>
      <c r="C24" s="30" t="s">
        <v>16</v>
      </c>
      <c r="D24" s="30" t="s">
        <v>16</v>
      </c>
      <c r="E24" s="30" t="s">
        <v>16</v>
      </c>
      <c r="F24" s="31" t="s">
        <v>663</v>
      </c>
    </row>
    <row r="25" ht="72.599999999999994">
      <c r="A25" s="29">
        <v>186</v>
      </c>
      <c r="B25" s="30" t="s">
        <v>65</v>
      </c>
      <c r="C25" s="30" t="s">
        <v>16</v>
      </c>
      <c r="D25" s="30" t="s">
        <v>664</v>
      </c>
      <c r="E25" s="30" t="s">
        <v>665</v>
      </c>
      <c r="F25" s="31" t="s">
        <v>16</v>
      </c>
    </row>
    <row r="26" ht="29.100000000000001">
      <c r="A26" s="29">
        <v>187</v>
      </c>
      <c r="B26" s="30" t="s">
        <v>68</v>
      </c>
      <c r="C26" s="30" t="s">
        <v>16</v>
      </c>
      <c r="D26" s="30" t="s">
        <v>16</v>
      </c>
      <c r="E26" s="30" t="s">
        <v>16</v>
      </c>
      <c r="F26" s="31" t="s">
        <v>16</v>
      </c>
    </row>
    <row r="27">
      <c r="A27" s="29">
        <v>195</v>
      </c>
      <c r="B27" s="30" t="s">
        <v>69</v>
      </c>
      <c r="C27" s="30" t="s">
        <v>16</v>
      </c>
      <c r="D27" s="30" t="s">
        <v>16</v>
      </c>
      <c r="E27" s="30" t="s">
        <v>16</v>
      </c>
      <c r="F27" s="31" t="s">
        <v>16</v>
      </c>
    </row>
    <row r="28" ht="72.599999999999994">
      <c r="A28" s="29">
        <v>203</v>
      </c>
      <c r="B28" s="30" t="s">
        <v>70</v>
      </c>
      <c r="C28" s="30" t="s">
        <v>666</v>
      </c>
      <c r="D28" s="30" t="s">
        <v>667</v>
      </c>
      <c r="E28" s="30" t="s">
        <v>668</v>
      </c>
      <c r="F28" s="31" t="s">
        <v>16</v>
      </c>
    </row>
    <row r="29" ht="57.950000000000003">
      <c r="A29" s="29">
        <v>205</v>
      </c>
      <c r="B29" s="30" t="s">
        <v>73</v>
      </c>
      <c r="C29" s="30" t="s">
        <v>669</v>
      </c>
      <c r="D29" s="30" t="s">
        <v>670</v>
      </c>
      <c r="E29" s="30" t="s">
        <v>671</v>
      </c>
      <c r="F29" s="31" t="s">
        <v>672</v>
      </c>
    </row>
    <row r="30">
      <c r="A30" s="29">
        <v>208</v>
      </c>
      <c r="B30" s="30" t="s">
        <v>76</v>
      </c>
      <c r="C30" s="30" t="s">
        <v>16</v>
      </c>
      <c r="D30" s="30" t="s">
        <v>16</v>
      </c>
      <c r="E30" s="30" t="s">
        <v>16</v>
      </c>
      <c r="F30" s="31" t="s">
        <v>16</v>
      </c>
    </row>
    <row r="31" ht="29.100000000000001">
      <c r="A31" s="29">
        <v>210</v>
      </c>
      <c r="B31" s="30" t="s">
        <v>77</v>
      </c>
      <c r="C31" s="30" t="s">
        <v>16</v>
      </c>
      <c r="D31" s="30" t="s">
        <v>16</v>
      </c>
      <c r="E31" s="30" t="s">
        <v>16</v>
      </c>
      <c r="F31" s="31" t="s">
        <v>673</v>
      </c>
    </row>
    <row r="32" ht="72.599999999999994">
      <c r="A32" s="29">
        <v>219</v>
      </c>
      <c r="B32" s="30" t="s">
        <v>78</v>
      </c>
      <c r="C32" s="30" t="s">
        <v>674</v>
      </c>
      <c r="D32" s="30" t="s">
        <v>675</v>
      </c>
      <c r="E32" s="30" t="s">
        <v>676</v>
      </c>
      <c r="F32" s="31" t="s">
        <v>16</v>
      </c>
    </row>
    <row r="33" ht="43.5">
      <c r="A33" s="29">
        <v>231</v>
      </c>
      <c r="B33" s="30" t="s">
        <v>81</v>
      </c>
      <c r="C33" s="30" t="s">
        <v>677</v>
      </c>
      <c r="D33" s="30" t="s">
        <v>16</v>
      </c>
      <c r="E33" s="30" t="s">
        <v>16</v>
      </c>
      <c r="F33" s="31" t="s">
        <v>16</v>
      </c>
    </row>
    <row r="34" ht="43.5">
      <c r="A34" s="29">
        <v>232</v>
      </c>
      <c r="B34" s="30" t="s">
        <v>85</v>
      </c>
      <c r="C34" s="30" t="s">
        <v>16</v>
      </c>
      <c r="D34" s="30" t="s">
        <v>16</v>
      </c>
      <c r="E34" s="30" t="s">
        <v>16</v>
      </c>
      <c r="F34" s="31" t="s">
        <v>678</v>
      </c>
    </row>
    <row r="35" ht="43.5">
      <c r="A35" s="29">
        <v>234</v>
      </c>
      <c r="B35" s="30" t="s">
        <v>87</v>
      </c>
      <c r="C35" s="30" t="s">
        <v>679</v>
      </c>
      <c r="D35" s="30" t="s">
        <v>16</v>
      </c>
      <c r="E35" s="30" t="s">
        <v>16</v>
      </c>
      <c r="F35" s="31" t="s">
        <v>680</v>
      </c>
    </row>
    <row r="36" ht="57.950000000000003">
      <c r="A36" s="29">
        <v>258</v>
      </c>
      <c r="B36" s="30" t="s">
        <v>88</v>
      </c>
      <c r="C36" s="30" t="s">
        <v>16</v>
      </c>
      <c r="D36" s="30" t="s">
        <v>16</v>
      </c>
      <c r="E36" s="30" t="s">
        <v>681</v>
      </c>
      <c r="F36" s="31" t="s">
        <v>16</v>
      </c>
    </row>
    <row r="37">
      <c r="A37" s="29">
        <v>264</v>
      </c>
      <c r="B37" s="30" t="s">
        <v>90</v>
      </c>
      <c r="C37" s="30" t="s">
        <v>16</v>
      </c>
      <c r="D37" s="30" t="s">
        <v>16</v>
      </c>
      <c r="E37" s="30" t="s">
        <v>16</v>
      </c>
      <c r="F37" s="31" t="s">
        <v>16</v>
      </c>
    </row>
    <row r="38" ht="29.100000000000001">
      <c r="A38" s="29">
        <v>265</v>
      </c>
      <c r="B38" s="30" t="s">
        <v>92</v>
      </c>
      <c r="C38" s="30" t="s">
        <v>16</v>
      </c>
      <c r="D38" s="30" t="s">
        <v>16</v>
      </c>
      <c r="E38" s="30" t="s">
        <v>682</v>
      </c>
      <c r="F38" s="31" t="s">
        <v>16</v>
      </c>
    </row>
    <row r="39">
      <c r="A39" s="29">
        <v>268</v>
      </c>
      <c r="B39" s="30" t="s">
        <v>94</v>
      </c>
      <c r="C39" s="30" t="s">
        <v>16</v>
      </c>
      <c r="D39" s="30" t="s">
        <v>16</v>
      </c>
      <c r="E39" s="30" t="s">
        <v>16</v>
      </c>
      <c r="F39" s="31" t="s">
        <v>16</v>
      </c>
    </row>
    <row r="40" ht="57.950000000000003">
      <c r="A40" s="29">
        <v>271</v>
      </c>
      <c r="B40" s="30" t="s">
        <v>95</v>
      </c>
      <c r="C40" s="30" t="s">
        <v>16</v>
      </c>
      <c r="D40" s="30" t="s">
        <v>16</v>
      </c>
      <c r="E40" s="30" t="s">
        <v>16</v>
      </c>
      <c r="F40" s="31" t="s">
        <v>683</v>
      </c>
    </row>
    <row r="41" ht="87">
      <c r="A41" s="29">
        <v>274</v>
      </c>
      <c r="B41" s="30" t="s">
        <v>98</v>
      </c>
      <c r="C41" s="30" t="s">
        <v>684</v>
      </c>
      <c r="D41" s="30" t="s">
        <v>16</v>
      </c>
      <c r="E41" s="30" t="s">
        <v>685</v>
      </c>
      <c r="F41" s="31" t="s">
        <v>686</v>
      </c>
    </row>
    <row r="42" ht="29.100000000000001">
      <c r="A42" s="29">
        <v>278</v>
      </c>
      <c r="B42" s="30" t="s">
        <v>101</v>
      </c>
      <c r="C42" s="30" t="s">
        <v>687</v>
      </c>
      <c r="D42" s="30" t="s">
        <v>688</v>
      </c>
      <c r="E42" s="30" t="s">
        <v>689</v>
      </c>
      <c r="F42" s="31" t="s">
        <v>16</v>
      </c>
    </row>
    <row r="43" ht="43.5">
      <c r="A43" s="29">
        <v>284</v>
      </c>
      <c r="B43" s="30" t="s">
        <v>104</v>
      </c>
      <c r="C43" s="30" t="s">
        <v>16</v>
      </c>
      <c r="D43" s="30" t="s">
        <v>690</v>
      </c>
      <c r="E43" s="30" t="s">
        <v>16</v>
      </c>
      <c r="F43" s="31" t="s">
        <v>16</v>
      </c>
    </row>
    <row r="44">
      <c r="A44" s="29">
        <v>295</v>
      </c>
      <c r="B44" s="30" t="s">
        <v>105</v>
      </c>
      <c r="C44" s="30" t="s">
        <v>16</v>
      </c>
      <c r="D44" s="30" t="s">
        <v>16</v>
      </c>
      <c r="E44" s="30" t="s">
        <v>16</v>
      </c>
      <c r="F44" s="31" t="s">
        <v>16</v>
      </c>
    </row>
    <row r="45" ht="130.5">
      <c r="A45" s="29">
        <v>298</v>
      </c>
      <c r="B45" s="30" t="s">
        <v>106</v>
      </c>
      <c r="C45" s="30" t="s">
        <v>16</v>
      </c>
      <c r="D45" s="30" t="s">
        <v>691</v>
      </c>
      <c r="E45" s="30" t="s">
        <v>16</v>
      </c>
      <c r="F45" s="31" t="s">
        <v>692</v>
      </c>
    </row>
    <row r="46">
      <c r="A46" s="29">
        <v>319</v>
      </c>
      <c r="B46" s="30" t="s">
        <v>108</v>
      </c>
      <c r="C46" s="30" t="s">
        <v>16</v>
      </c>
      <c r="D46" s="30" t="s">
        <v>16</v>
      </c>
      <c r="E46" s="30" t="s">
        <v>16</v>
      </c>
      <c r="F46" s="31" t="s">
        <v>16</v>
      </c>
    </row>
    <row r="47">
      <c r="A47" s="29">
        <v>323</v>
      </c>
      <c r="B47" s="30" t="s">
        <v>109</v>
      </c>
      <c r="C47" s="30" t="s">
        <v>16</v>
      </c>
      <c r="D47" s="30" t="s">
        <v>16</v>
      </c>
      <c r="E47" s="30" t="s">
        <v>16</v>
      </c>
      <c r="F47" s="31" t="s">
        <v>693</v>
      </c>
    </row>
    <row r="48">
      <c r="A48" s="29">
        <v>325</v>
      </c>
      <c r="B48" s="30" t="s">
        <v>111</v>
      </c>
      <c r="C48" s="30" t="s">
        <v>16</v>
      </c>
      <c r="D48" s="30" t="s">
        <v>16</v>
      </c>
      <c r="E48" s="30" t="s">
        <v>16</v>
      </c>
      <c r="F48" s="31" t="s">
        <v>694</v>
      </c>
    </row>
    <row r="49" ht="43.5">
      <c r="A49" s="29">
        <v>337</v>
      </c>
      <c r="B49" s="30" t="s">
        <v>112</v>
      </c>
      <c r="C49" s="30" t="s">
        <v>695</v>
      </c>
      <c r="D49" s="30" t="s">
        <v>16</v>
      </c>
      <c r="E49" s="30" t="s">
        <v>696</v>
      </c>
      <c r="F49" s="31" t="s">
        <v>697</v>
      </c>
    </row>
    <row r="50" ht="29.100000000000001">
      <c r="A50" s="29">
        <v>343</v>
      </c>
      <c r="B50" s="30" t="s">
        <v>114</v>
      </c>
      <c r="C50" s="30" t="s">
        <v>698</v>
      </c>
      <c r="D50" s="30" t="s">
        <v>16</v>
      </c>
      <c r="E50" s="30" t="s">
        <v>16</v>
      </c>
      <c r="F50" s="31" t="s">
        <v>16</v>
      </c>
    </row>
    <row r="51" ht="57.950000000000003">
      <c r="A51" s="29">
        <v>352</v>
      </c>
      <c r="B51" s="30" t="s">
        <v>118</v>
      </c>
      <c r="C51" s="30" t="s">
        <v>16</v>
      </c>
      <c r="D51" s="30" t="s">
        <v>699</v>
      </c>
      <c r="E51" s="30" t="s">
        <v>16</v>
      </c>
      <c r="F51" s="31" t="s">
        <v>16</v>
      </c>
    </row>
    <row r="52">
      <c r="A52" s="29">
        <v>358</v>
      </c>
      <c r="B52" s="30" t="s">
        <v>120</v>
      </c>
      <c r="C52" s="30" t="s">
        <v>16</v>
      </c>
      <c r="D52" s="30" t="s">
        <v>16</v>
      </c>
      <c r="E52" s="30" t="s">
        <v>16</v>
      </c>
      <c r="F52" s="31" t="s">
        <v>16</v>
      </c>
    </row>
    <row r="53">
      <c r="A53" s="29">
        <v>359</v>
      </c>
      <c r="B53" s="30" t="s">
        <v>121</v>
      </c>
      <c r="C53" s="30" t="s">
        <v>16</v>
      </c>
      <c r="D53" s="30" t="s">
        <v>16</v>
      </c>
      <c r="E53" s="30" t="s">
        <v>16</v>
      </c>
      <c r="F53" s="31" t="s">
        <v>16</v>
      </c>
    </row>
    <row r="54">
      <c r="A54" s="29">
        <v>363</v>
      </c>
      <c r="B54" s="30" t="s">
        <v>122</v>
      </c>
      <c r="C54" s="30" t="s">
        <v>16</v>
      </c>
      <c r="D54" s="30" t="s">
        <v>16</v>
      </c>
      <c r="E54" s="30" t="s">
        <v>16</v>
      </c>
      <c r="F54" s="31" t="s">
        <v>16</v>
      </c>
    </row>
    <row r="55" ht="57.950000000000003">
      <c r="A55" s="29">
        <v>373</v>
      </c>
      <c r="B55" s="30" t="s">
        <v>123</v>
      </c>
      <c r="C55" s="30" t="s">
        <v>700</v>
      </c>
      <c r="D55" s="30" t="s">
        <v>16</v>
      </c>
      <c r="E55" s="30" t="s">
        <v>16</v>
      </c>
      <c r="F55" s="31" t="s">
        <v>16</v>
      </c>
    </row>
    <row r="56">
      <c r="A56" s="29">
        <v>387</v>
      </c>
      <c r="B56" s="30" t="s">
        <v>124</v>
      </c>
      <c r="C56" s="30" t="s">
        <v>16</v>
      </c>
      <c r="D56" s="30" t="s">
        <v>16</v>
      </c>
      <c r="E56" s="30" t="s">
        <v>16</v>
      </c>
      <c r="F56" s="31" t="s">
        <v>16</v>
      </c>
    </row>
    <row r="57">
      <c r="A57" s="29">
        <v>399</v>
      </c>
      <c r="B57" s="30" t="s">
        <v>125</v>
      </c>
      <c r="C57" s="30" t="s">
        <v>16</v>
      </c>
      <c r="D57" s="30" t="s">
        <v>16</v>
      </c>
      <c r="E57" s="30" t="s">
        <v>16</v>
      </c>
      <c r="F57" s="31" t="s">
        <v>16</v>
      </c>
    </row>
    <row r="58">
      <c r="A58" s="29">
        <v>400</v>
      </c>
      <c r="B58" s="30" t="s">
        <v>126</v>
      </c>
      <c r="C58" s="30" t="s">
        <v>16</v>
      </c>
      <c r="D58" s="30" t="s">
        <v>16</v>
      </c>
      <c r="E58" s="30" t="s">
        <v>16</v>
      </c>
      <c r="F58" s="31" t="s">
        <v>16</v>
      </c>
    </row>
    <row r="59" ht="87">
      <c r="A59" s="29">
        <v>407</v>
      </c>
      <c r="B59" s="30" t="s">
        <v>127</v>
      </c>
      <c r="C59" s="30" t="s">
        <v>701</v>
      </c>
      <c r="D59" s="30" t="s">
        <v>16</v>
      </c>
      <c r="E59" s="30" t="s">
        <v>16</v>
      </c>
      <c r="F59" s="31" t="s">
        <v>16</v>
      </c>
    </row>
    <row r="60" ht="29.100000000000001">
      <c r="A60" s="29">
        <v>421</v>
      </c>
      <c r="B60" s="30" t="s">
        <v>130</v>
      </c>
      <c r="C60" s="30" t="s">
        <v>702</v>
      </c>
      <c r="D60" s="30" t="s">
        <v>16</v>
      </c>
      <c r="E60" s="30" t="s">
        <v>703</v>
      </c>
      <c r="F60" s="31" t="s">
        <v>16</v>
      </c>
    </row>
    <row r="61" ht="29.100000000000001">
      <c r="A61" s="29">
        <v>425</v>
      </c>
      <c r="B61" s="30" t="s">
        <v>133</v>
      </c>
      <c r="C61" s="30" t="s">
        <v>16</v>
      </c>
      <c r="D61" s="30" t="s">
        <v>704</v>
      </c>
      <c r="E61" s="30" t="s">
        <v>705</v>
      </c>
      <c r="F61" s="31" t="s">
        <v>16</v>
      </c>
    </row>
    <row r="62">
      <c r="A62" s="29">
        <v>429</v>
      </c>
      <c r="B62" s="30" t="s">
        <v>135</v>
      </c>
      <c r="C62" s="30" t="s">
        <v>16</v>
      </c>
      <c r="D62" s="30" t="s">
        <v>16</v>
      </c>
      <c r="E62" s="30" t="s">
        <v>16</v>
      </c>
      <c r="F62" s="31" t="s">
        <v>16</v>
      </c>
    </row>
    <row r="63">
      <c r="A63" s="29">
        <v>438</v>
      </c>
      <c r="B63" s="30" t="s">
        <v>136</v>
      </c>
      <c r="C63" s="30" t="s">
        <v>16</v>
      </c>
      <c r="D63" s="30" t="s">
        <v>16</v>
      </c>
      <c r="E63" s="30" t="s">
        <v>16</v>
      </c>
      <c r="F63" s="31" t="s">
        <v>16</v>
      </c>
    </row>
    <row r="64" ht="29.100000000000001">
      <c r="A64" s="29">
        <v>439</v>
      </c>
      <c r="B64" s="30" t="s">
        <v>137</v>
      </c>
      <c r="C64" s="30" t="s">
        <v>706</v>
      </c>
      <c r="D64" s="30" t="s">
        <v>16</v>
      </c>
      <c r="E64" s="30" t="s">
        <v>16</v>
      </c>
      <c r="F64" s="31" t="s">
        <v>16</v>
      </c>
    </row>
    <row r="65" ht="72.599999999999994">
      <c r="A65" s="29">
        <v>446</v>
      </c>
      <c r="B65" s="30" t="s">
        <v>140</v>
      </c>
      <c r="C65" s="30" t="s">
        <v>707</v>
      </c>
      <c r="D65" s="30" t="s">
        <v>16</v>
      </c>
      <c r="E65" s="30" t="s">
        <v>16</v>
      </c>
      <c r="F65" s="31" t="s">
        <v>16</v>
      </c>
    </row>
    <row r="66">
      <c r="A66" s="29">
        <v>449</v>
      </c>
      <c r="B66" s="30" t="s">
        <v>135</v>
      </c>
      <c r="C66" s="30" t="s">
        <v>16</v>
      </c>
      <c r="D66" s="30" t="s">
        <v>16</v>
      </c>
      <c r="E66" s="30" t="s">
        <v>16</v>
      </c>
      <c r="F66" s="31" t="s">
        <v>16</v>
      </c>
    </row>
    <row r="67" ht="43.5">
      <c r="A67" s="29">
        <v>452</v>
      </c>
      <c r="B67" s="30" t="s">
        <v>142</v>
      </c>
      <c r="C67" s="30" t="s">
        <v>708</v>
      </c>
      <c r="D67" s="30" t="s">
        <v>709</v>
      </c>
      <c r="E67" s="30" t="s">
        <v>16</v>
      </c>
      <c r="F67" s="31" t="s">
        <v>16</v>
      </c>
    </row>
    <row r="68" ht="43.5">
      <c r="A68" s="29">
        <v>457</v>
      </c>
      <c r="B68" s="30" t="s">
        <v>146</v>
      </c>
      <c r="C68" s="30" t="s">
        <v>16</v>
      </c>
      <c r="D68" s="30" t="s">
        <v>16</v>
      </c>
      <c r="E68" s="30" t="s">
        <v>16</v>
      </c>
      <c r="F68" s="31" t="s">
        <v>710</v>
      </c>
    </row>
    <row r="69" ht="43.5">
      <c r="A69" s="29">
        <v>460</v>
      </c>
      <c r="B69" s="30" t="s">
        <v>147</v>
      </c>
      <c r="C69" s="30" t="s">
        <v>711</v>
      </c>
      <c r="D69" s="30" t="s">
        <v>16</v>
      </c>
      <c r="E69" s="30" t="s">
        <v>16</v>
      </c>
      <c r="F69" s="31" t="s">
        <v>16</v>
      </c>
    </row>
    <row r="70" ht="29.100000000000001">
      <c r="A70" s="29">
        <v>462</v>
      </c>
      <c r="B70" s="30" t="s">
        <v>150</v>
      </c>
      <c r="C70" s="30" t="s">
        <v>16</v>
      </c>
      <c r="D70" s="30" t="s">
        <v>16</v>
      </c>
      <c r="E70" s="30" t="s">
        <v>16</v>
      </c>
      <c r="F70" s="31" t="s">
        <v>712</v>
      </c>
    </row>
    <row r="71">
      <c r="A71" s="29">
        <v>467</v>
      </c>
      <c r="B71" s="30" t="s">
        <v>153</v>
      </c>
      <c r="C71" s="30" t="s">
        <v>16</v>
      </c>
      <c r="D71" s="30" t="s">
        <v>16</v>
      </c>
      <c r="E71" s="30" t="s">
        <v>16</v>
      </c>
      <c r="F71" s="31" t="s">
        <v>16</v>
      </c>
    </row>
    <row r="72" ht="29.100000000000001">
      <c r="A72" s="29">
        <v>470</v>
      </c>
      <c r="B72" s="30" t="s">
        <v>154</v>
      </c>
      <c r="C72" s="30" t="s">
        <v>713</v>
      </c>
      <c r="D72" s="30" t="s">
        <v>16</v>
      </c>
      <c r="E72" s="30" t="s">
        <v>16</v>
      </c>
      <c r="F72" s="31" t="s">
        <v>16</v>
      </c>
    </row>
    <row r="73">
      <c r="A73" s="29">
        <v>475</v>
      </c>
      <c r="B73" s="30" t="s">
        <v>158</v>
      </c>
      <c r="C73" s="30" t="s">
        <v>714</v>
      </c>
      <c r="D73" s="30" t="s">
        <v>16</v>
      </c>
      <c r="E73" s="30" t="s">
        <v>16</v>
      </c>
      <c r="F73" s="31" t="s">
        <v>16</v>
      </c>
    </row>
    <row r="74">
      <c r="A74" s="29">
        <v>481</v>
      </c>
      <c r="B74" s="30" t="s">
        <v>161</v>
      </c>
      <c r="C74" s="30" t="s">
        <v>16</v>
      </c>
      <c r="D74" s="30" t="s">
        <v>16</v>
      </c>
      <c r="E74" s="30" t="s">
        <v>16</v>
      </c>
      <c r="F74" s="31" t="s">
        <v>16</v>
      </c>
    </row>
    <row r="75" ht="29.100000000000001">
      <c r="A75" s="29">
        <v>482</v>
      </c>
      <c r="B75" s="30" t="s">
        <v>162</v>
      </c>
      <c r="C75" s="30" t="s">
        <v>16</v>
      </c>
      <c r="D75" s="30" t="s">
        <v>715</v>
      </c>
      <c r="E75" s="30" t="s">
        <v>16</v>
      </c>
      <c r="F75" s="31" t="s">
        <v>16</v>
      </c>
    </row>
    <row r="76" ht="43.5">
      <c r="A76" s="29">
        <v>485</v>
      </c>
      <c r="B76" s="30" t="s">
        <v>163</v>
      </c>
      <c r="C76" s="30" t="s">
        <v>716</v>
      </c>
      <c r="D76" s="30" t="s">
        <v>16</v>
      </c>
      <c r="E76" s="30" t="s">
        <v>16</v>
      </c>
      <c r="F76" s="31" t="s">
        <v>16</v>
      </c>
    </row>
    <row r="77" ht="87">
      <c r="A77" s="29">
        <v>490</v>
      </c>
      <c r="B77" s="30" t="s">
        <v>166</v>
      </c>
      <c r="C77" s="30" t="s">
        <v>717</v>
      </c>
      <c r="D77" s="30" t="s">
        <v>16</v>
      </c>
      <c r="E77" s="30" t="s">
        <v>16</v>
      </c>
      <c r="F77" s="31" t="s">
        <v>16</v>
      </c>
    </row>
    <row r="78" ht="57.950000000000003">
      <c r="A78" s="29">
        <v>491</v>
      </c>
      <c r="B78" s="30" t="s">
        <v>167</v>
      </c>
      <c r="C78" s="30" t="s">
        <v>718</v>
      </c>
      <c r="D78" s="30" t="s">
        <v>16</v>
      </c>
      <c r="E78" s="30" t="s">
        <v>16</v>
      </c>
      <c r="F78" s="31" t="s">
        <v>16</v>
      </c>
    </row>
    <row r="79">
      <c r="A79" s="29">
        <v>492</v>
      </c>
      <c r="B79" s="30" t="s">
        <v>168</v>
      </c>
      <c r="C79" s="30" t="s">
        <v>719</v>
      </c>
      <c r="D79" s="30" t="s">
        <v>16</v>
      </c>
      <c r="E79" s="30" t="s">
        <v>720</v>
      </c>
      <c r="F79" s="31" t="s">
        <v>16</v>
      </c>
    </row>
    <row r="80" ht="43.5">
      <c r="A80" s="29">
        <v>496</v>
      </c>
      <c r="B80" s="30" t="s">
        <v>172</v>
      </c>
      <c r="C80" s="30" t="s">
        <v>16</v>
      </c>
      <c r="D80" s="30" t="s">
        <v>16</v>
      </c>
      <c r="E80" s="30" t="s">
        <v>721</v>
      </c>
      <c r="F80" s="31" t="s">
        <v>16</v>
      </c>
    </row>
    <row r="81">
      <c r="A81" s="29">
        <v>503</v>
      </c>
      <c r="B81" s="30" t="s">
        <v>173</v>
      </c>
      <c r="C81" s="30" t="s">
        <v>16</v>
      </c>
      <c r="D81" s="30" t="s">
        <v>16</v>
      </c>
      <c r="E81" s="30" t="s">
        <v>16</v>
      </c>
      <c r="F81" s="31" t="s">
        <v>16</v>
      </c>
    </row>
    <row r="82">
      <c r="A82" s="29">
        <v>508</v>
      </c>
      <c r="B82" s="30" t="s">
        <v>174</v>
      </c>
      <c r="C82" s="30" t="s">
        <v>16</v>
      </c>
      <c r="D82" s="30" t="s">
        <v>16</v>
      </c>
      <c r="E82" s="30" t="s">
        <v>16</v>
      </c>
      <c r="F82" s="31" t="s">
        <v>16</v>
      </c>
    </row>
    <row r="83">
      <c r="A83" s="29">
        <v>509</v>
      </c>
      <c r="B83" s="30" t="s">
        <v>175</v>
      </c>
      <c r="C83" s="30" t="s">
        <v>16</v>
      </c>
      <c r="D83" s="30" t="s">
        <v>16</v>
      </c>
      <c r="E83" s="30" t="s">
        <v>16</v>
      </c>
      <c r="F83" s="31" t="s">
        <v>16</v>
      </c>
    </row>
    <row r="84">
      <c r="A84" s="29">
        <v>525</v>
      </c>
      <c r="B84" s="30" t="s">
        <v>176</v>
      </c>
      <c r="C84" s="30" t="s">
        <v>16</v>
      </c>
      <c r="D84" s="30" t="s">
        <v>16</v>
      </c>
      <c r="E84" s="30" t="s">
        <v>16</v>
      </c>
      <c r="F84" s="31" t="s">
        <v>16</v>
      </c>
    </row>
    <row r="85">
      <c r="A85" s="29">
        <v>527</v>
      </c>
      <c r="B85" s="30" t="s">
        <v>177</v>
      </c>
      <c r="C85" s="30" t="s">
        <v>16</v>
      </c>
      <c r="D85" s="30" t="s">
        <v>16</v>
      </c>
      <c r="E85" s="30" t="s">
        <v>16</v>
      </c>
      <c r="F85" s="31" t="s">
        <v>16</v>
      </c>
    </row>
    <row r="86">
      <c r="A86" s="29">
        <v>532</v>
      </c>
      <c r="B86" s="30" t="s">
        <v>178</v>
      </c>
      <c r="C86" s="30" t="s">
        <v>16</v>
      </c>
      <c r="D86" s="30" t="s">
        <v>16</v>
      </c>
      <c r="E86" s="30" t="s">
        <v>16</v>
      </c>
      <c r="F86" s="31" t="s">
        <v>16</v>
      </c>
    </row>
    <row r="87" ht="43.5">
      <c r="A87" s="29">
        <v>534</v>
      </c>
      <c r="B87" s="30" t="s">
        <v>179</v>
      </c>
      <c r="C87" s="30" t="s">
        <v>722</v>
      </c>
      <c r="D87" s="30" t="s">
        <v>16</v>
      </c>
      <c r="E87" s="30" t="s">
        <v>16</v>
      </c>
      <c r="F87" s="31" t="s">
        <v>16</v>
      </c>
    </row>
    <row r="88">
      <c r="A88" s="29">
        <v>535</v>
      </c>
      <c r="B88" s="30" t="s">
        <v>182</v>
      </c>
      <c r="C88" s="30" t="s">
        <v>16</v>
      </c>
      <c r="D88" s="30" t="s">
        <v>16</v>
      </c>
      <c r="E88" s="30" t="s">
        <v>16</v>
      </c>
      <c r="F88" s="31" t="s">
        <v>16</v>
      </c>
    </row>
    <row r="89">
      <c r="A89" s="29">
        <v>538</v>
      </c>
      <c r="B89" s="30" t="s">
        <v>183</v>
      </c>
      <c r="C89" s="30" t="s">
        <v>723</v>
      </c>
      <c r="D89" s="30" t="s">
        <v>16</v>
      </c>
      <c r="E89" s="30" t="s">
        <v>16</v>
      </c>
      <c r="F89" s="31" t="s">
        <v>16</v>
      </c>
    </row>
    <row r="90" ht="29.100000000000001">
      <c r="A90" s="29">
        <v>540</v>
      </c>
      <c r="B90" s="30" t="s">
        <v>185</v>
      </c>
      <c r="C90" s="30" t="s">
        <v>16</v>
      </c>
      <c r="D90" s="30" t="s">
        <v>16</v>
      </c>
      <c r="E90" s="30" t="s">
        <v>724</v>
      </c>
      <c r="F90" s="31" t="s">
        <v>16</v>
      </c>
    </row>
    <row r="91" ht="43.5">
      <c r="A91" s="29">
        <v>550</v>
      </c>
      <c r="B91" s="30" t="s">
        <v>186</v>
      </c>
      <c r="C91" s="30" t="s">
        <v>725</v>
      </c>
      <c r="D91" s="30" t="s">
        <v>16</v>
      </c>
      <c r="E91" s="30" t="s">
        <v>16</v>
      </c>
      <c r="F91" s="31" t="s">
        <v>16</v>
      </c>
    </row>
    <row r="92" ht="43.5">
      <c r="A92" s="29">
        <v>558</v>
      </c>
      <c r="B92" s="30" t="s">
        <v>190</v>
      </c>
      <c r="C92" s="30" t="s">
        <v>16</v>
      </c>
      <c r="D92" s="30" t="s">
        <v>16</v>
      </c>
      <c r="E92" s="30" t="s">
        <v>16</v>
      </c>
      <c r="F92" s="31" t="s">
        <v>726</v>
      </c>
    </row>
    <row r="93" ht="29.100000000000001">
      <c r="A93" s="29">
        <v>559</v>
      </c>
      <c r="B93" s="30" t="s">
        <v>191</v>
      </c>
      <c r="C93" s="30" t="s">
        <v>16</v>
      </c>
      <c r="D93" s="30" t="s">
        <v>727</v>
      </c>
      <c r="E93" s="30" t="s">
        <v>16</v>
      </c>
      <c r="F93" s="31" t="s">
        <v>16</v>
      </c>
    </row>
    <row r="94" ht="57.950000000000003">
      <c r="A94" s="29">
        <v>563</v>
      </c>
      <c r="B94" s="30" t="s">
        <v>192</v>
      </c>
      <c r="C94" s="30" t="s">
        <v>16</v>
      </c>
      <c r="D94" s="30" t="s">
        <v>16</v>
      </c>
      <c r="E94" s="30" t="s">
        <v>728</v>
      </c>
      <c r="F94" s="31" t="s">
        <v>16</v>
      </c>
    </row>
    <row r="95" ht="72.599999999999994">
      <c r="A95" s="29">
        <v>565</v>
      </c>
      <c r="B95" s="30" t="s">
        <v>193</v>
      </c>
      <c r="C95" s="30" t="s">
        <v>729</v>
      </c>
      <c r="D95" s="30" t="s">
        <v>16</v>
      </c>
      <c r="E95" s="30" t="s">
        <v>730</v>
      </c>
      <c r="F95" s="31" t="s">
        <v>16</v>
      </c>
    </row>
    <row r="96" ht="43.5">
      <c r="A96" s="29">
        <v>567</v>
      </c>
      <c r="B96" s="30" t="s">
        <v>196</v>
      </c>
      <c r="C96" s="30" t="s">
        <v>16</v>
      </c>
      <c r="D96" s="30" t="s">
        <v>731</v>
      </c>
      <c r="E96" s="30" t="s">
        <v>16</v>
      </c>
      <c r="F96" s="31" t="s">
        <v>16</v>
      </c>
    </row>
    <row r="97" ht="101.45">
      <c r="A97" s="29">
        <v>570</v>
      </c>
      <c r="B97" s="30" t="s">
        <v>197</v>
      </c>
      <c r="C97" s="30" t="s">
        <v>16</v>
      </c>
      <c r="D97" s="30" t="s">
        <v>16</v>
      </c>
      <c r="E97" s="30" t="s">
        <v>732</v>
      </c>
      <c r="F97" s="31" t="s">
        <v>733</v>
      </c>
    </row>
    <row r="98" ht="29.100000000000001">
      <c r="A98" s="29">
        <v>571</v>
      </c>
      <c r="B98" s="30" t="s">
        <v>199</v>
      </c>
      <c r="C98" s="30" t="s">
        <v>16</v>
      </c>
      <c r="D98" s="30" t="s">
        <v>16</v>
      </c>
      <c r="E98" s="30" t="s">
        <v>16</v>
      </c>
      <c r="F98" s="31" t="s">
        <v>16</v>
      </c>
    </row>
    <row r="99" ht="261">
      <c r="A99" s="29">
        <v>575</v>
      </c>
      <c r="B99" s="30" t="s">
        <v>200</v>
      </c>
      <c r="C99" s="30" t="s">
        <v>16</v>
      </c>
      <c r="D99" s="30" t="s">
        <v>734</v>
      </c>
      <c r="E99" s="30" t="s">
        <v>16</v>
      </c>
      <c r="F99" s="31" t="s">
        <v>16</v>
      </c>
    </row>
    <row r="100" ht="29.100000000000001">
      <c r="A100" s="29">
        <v>577</v>
      </c>
      <c r="B100" s="30" t="s">
        <v>201</v>
      </c>
      <c r="C100" s="30" t="s">
        <v>16</v>
      </c>
      <c r="D100" s="30" t="s">
        <v>16</v>
      </c>
      <c r="E100" s="30" t="s">
        <v>735</v>
      </c>
      <c r="F100" s="31" t="s">
        <v>16</v>
      </c>
    </row>
    <row r="101" ht="43.5">
      <c r="A101" s="29">
        <v>586</v>
      </c>
      <c r="B101" s="30" t="s">
        <v>204</v>
      </c>
      <c r="C101" s="30" t="s">
        <v>16</v>
      </c>
      <c r="D101" s="30" t="s">
        <v>16</v>
      </c>
      <c r="E101" s="30" t="s">
        <v>736</v>
      </c>
      <c r="F101" s="31" t="s">
        <v>16</v>
      </c>
    </row>
    <row r="102" ht="72.599999999999994">
      <c r="A102" s="29">
        <v>600</v>
      </c>
      <c r="B102" s="30" t="s">
        <v>205</v>
      </c>
      <c r="C102" s="30" t="s">
        <v>737</v>
      </c>
      <c r="D102" s="30" t="s">
        <v>16</v>
      </c>
      <c r="E102" s="30" t="s">
        <v>16</v>
      </c>
      <c r="F102" s="31" t="s">
        <v>16</v>
      </c>
    </row>
    <row r="103" ht="29.100000000000001">
      <c r="A103" s="29">
        <v>601</v>
      </c>
      <c r="B103" s="30" t="s">
        <v>207</v>
      </c>
      <c r="C103" s="30" t="s">
        <v>16</v>
      </c>
      <c r="D103" s="30" t="s">
        <v>738</v>
      </c>
      <c r="E103" s="30" t="s">
        <v>16</v>
      </c>
      <c r="F103" s="31" t="s">
        <v>739</v>
      </c>
    </row>
    <row r="104" ht="29.100000000000001">
      <c r="A104" s="29">
        <v>608</v>
      </c>
      <c r="B104" s="30" t="s">
        <v>210</v>
      </c>
      <c r="C104" s="30" t="s">
        <v>16</v>
      </c>
      <c r="D104" s="30" t="s">
        <v>16</v>
      </c>
      <c r="E104" s="30" t="s">
        <v>16</v>
      </c>
      <c r="F104" s="31" t="s">
        <v>740</v>
      </c>
    </row>
    <row r="105">
      <c r="A105" s="29">
        <v>609</v>
      </c>
      <c r="B105" s="30" t="s">
        <v>211</v>
      </c>
      <c r="C105" s="30" t="s">
        <v>16</v>
      </c>
      <c r="D105" s="30" t="s">
        <v>16</v>
      </c>
      <c r="E105" s="30" t="s">
        <v>16</v>
      </c>
      <c r="F105" s="31" t="s">
        <v>16</v>
      </c>
    </row>
    <row r="106" ht="101.45">
      <c r="A106" s="29">
        <v>610</v>
      </c>
      <c r="B106" s="30" t="s">
        <v>212</v>
      </c>
      <c r="C106" s="30" t="s">
        <v>16</v>
      </c>
      <c r="D106" s="30" t="s">
        <v>16</v>
      </c>
      <c r="E106" s="30" t="s">
        <v>741</v>
      </c>
      <c r="F106" s="31" t="s">
        <v>16</v>
      </c>
    </row>
    <row r="107">
      <c r="A107" s="29">
        <v>614</v>
      </c>
      <c r="B107" s="30" t="s">
        <v>213</v>
      </c>
      <c r="C107" s="30" t="s">
        <v>16</v>
      </c>
      <c r="D107" s="30" t="s">
        <v>16</v>
      </c>
      <c r="E107" s="30" t="s">
        <v>16</v>
      </c>
      <c r="F107" s="31" t="s">
        <v>742</v>
      </c>
    </row>
    <row r="108" ht="29.100000000000001">
      <c r="A108" s="29">
        <v>617</v>
      </c>
      <c r="B108" s="30" t="s">
        <v>214</v>
      </c>
      <c r="C108" s="30" t="s">
        <v>16</v>
      </c>
      <c r="D108" s="30" t="s">
        <v>16</v>
      </c>
      <c r="E108" s="30" t="s">
        <v>743</v>
      </c>
      <c r="F108" s="31" t="s">
        <v>16</v>
      </c>
    </row>
    <row r="109" ht="29.100000000000001">
      <c r="A109" s="29">
        <v>622</v>
      </c>
      <c r="B109" s="30" t="s">
        <v>216</v>
      </c>
      <c r="C109" s="30" t="s">
        <v>723</v>
      </c>
      <c r="D109" s="30" t="s">
        <v>16</v>
      </c>
      <c r="E109" s="30" t="s">
        <v>744</v>
      </c>
      <c r="F109" s="31" t="s">
        <v>16</v>
      </c>
    </row>
    <row r="110" ht="57.950000000000003">
      <c r="A110" s="29">
        <v>629</v>
      </c>
      <c r="B110" s="30" t="s">
        <v>217</v>
      </c>
      <c r="C110" s="30" t="s">
        <v>745</v>
      </c>
      <c r="D110" s="30" t="s">
        <v>16</v>
      </c>
      <c r="E110" s="30" t="s">
        <v>746</v>
      </c>
      <c r="F110" s="31" t="s">
        <v>16</v>
      </c>
    </row>
    <row r="111" ht="57.950000000000003">
      <c r="A111" s="29">
        <v>635</v>
      </c>
      <c r="B111" s="30" t="s">
        <v>220</v>
      </c>
      <c r="C111" s="30" t="s">
        <v>747</v>
      </c>
      <c r="D111" s="30" t="s">
        <v>748</v>
      </c>
      <c r="E111" s="30" t="s">
        <v>749</v>
      </c>
      <c r="F111" s="31" t="s">
        <v>16</v>
      </c>
    </row>
    <row r="112">
      <c r="A112" s="29">
        <v>658</v>
      </c>
      <c r="B112" s="30" t="s">
        <v>223</v>
      </c>
      <c r="C112" s="30" t="s">
        <v>16</v>
      </c>
      <c r="D112" s="30" t="s">
        <v>16</v>
      </c>
      <c r="E112" s="30" t="s">
        <v>16</v>
      </c>
      <c r="F112" s="31" t="s">
        <v>16</v>
      </c>
    </row>
    <row r="113" ht="29.100000000000001">
      <c r="A113" s="29">
        <v>667</v>
      </c>
      <c r="B113" s="30" t="s">
        <v>224</v>
      </c>
      <c r="C113" s="30" t="s">
        <v>16</v>
      </c>
      <c r="D113" s="30" t="s">
        <v>16</v>
      </c>
      <c r="E113" s="30" t="s">
        <v>750</v>
      </c>
      <c r="F113" s="31" t="s">
        <v>16</v>
      </c>
    </row>
    <row r="114">
      <c r="A114" s="29">
        <v>671</v>
      </c>
      <c r="B114" s="30" t="s">
        <v>225</v>
      </c>
      <c r="C114" s="30" t="s">
        <v>16</v>
      </c>
      <c r="D114" s="30" t="s">
        <v>16</v>
      </c>
      <c r="E114" s="30" t="s">
        <v>16</v>
      </c>
      <c r="F114" s="31" t="s">
        <v>16</v>
      </c>
    </row>
    <row r="115" ht="29.100000000000001">
      <c r="A115" s="29">
        <v>673</v>
      </c>
      <c r="B115" s="30" t="s">
        <v>226</v>
      </c>
      <c r="C115" s="30" t="s">
        <v>16</v>
      </c>
      <c r="D115" s="30" t="s">
        <v>16</v>
      </c>
      <c r="E115" s="30" t="s">
        <v>16</v>
      </c>
      <c r="F115" s="31" t="s">
        <v>16</v>
      </c>
    </row>
    <row r="116" ht="72.599999999999994">
      <c r="A116" s="29">
        <v>674</v>
      </c>
      <c r="B116" s="30" t="s">
        <v>227</v>
      </c>
      <c r="C116" s="30" t="s">
        <v>16</v>
      </c>
      <c r="D116" s="30" t="s">
        <v>16</v>
      </c>
      <c r="E116" s="30" t="s">
        <v>751</v>
      </c>
      <c r="F116" s="31" t="s">
        <v>16</v>
      </c>
    </row>
    <row r="117">
      <c r="A117" s="29">
        <v>675</v>
      </c>
      <c r="B117" s="30" t="s">
        <v>229</v>
      </c>
      <c r="C117" s="30" t="s">
        <v>16</v>
      </c>
      <c r="D117" s="30" t="s">
        <v>16</v>
      </c>
      <c r="E117" s="30" t="s">
        <v>16</v>
      </c>
      <c r="F117" s="31" t="s">
        <v>16</v>
      </c>
    </row>
    <row r="118" ht="72.599999999999994">
      <c r="A118" s="29">
        <v>676</v>
      </c>
      <c r="B118" s="30" t="s">
        <v>231</v>
      </c>
      <c r="C118" s="30" t="s">
        <v>752</v>
      </c>
      <c r="D118" s="30" t="s">
        <v>16</v>
      </c>
      <c r="E118" s="30" t="s">
        <v>753</v>
      </c>
      <c r="F118" s="31" t="s">
        <v>16</v>
      </c>
    </row>
    <row r="119" ht="57.950000000000003">
      <c r="A119" s="29">
        <v>679</v>
      </c>
      <c r="B119" s="30" t="s">
        <v>234</v>
      </c>
      <c r="C119" s="30" t="s">
        <v>754</v>
      </c>
      <c r="D119" s="30" t="s">
        <v>16</v>
      </c>
      <c r="E119" s="30" t="s">
        <v>16</v>
      </c>
      <c r="F119" s="31" t="s">
        <v>16</v>
      </c>
    </row>
    <row r="120" ht="72.599999999999994">
      <c r="A120" s="29">
        <v>694</v>
      </c>
      <c r="B120" s="30" t="s">
        <v>237</v>
      </c>
      <c r="C120" s="30" t="s">
        <v>16</v>
      </c>
      <c r="D120" s="30" t="s">
        <v>16</v>
      </c>
      <c r="E120" s="30" t="s">
        <v>16</v>
      </c>
      <c r="F120" s="31" t="s">
        <v>755</v>
      </c>
    </row>
    <row r="121" ht="43.5">
      <c r="A121" s="29">
        <v>699</v>
      </c>
      <c r="B121" s="30" t="s">
        <v>240</v>
      </c>
      <c r="C121" s="30" t="s">
        <v>16</v>
      </c>
      <c r="D121" s="30" t="s">
        <v>756</v>
      </c>
      <c r="E121" s="30" t="s">
        <v>16</v>
      </c>
      <c r="F121" s="31" t="s">
        <v>757</v>
      </c>
    </row>
    <row r="122" ht="57.950000000000003">
      <c r="A122" s="29">
        <v>703</v>
      </c>
      <c r="B122" s="30" t="s">
        <v>243</v>
      </c>
      <c r="C122" s="30" t="s">
        <v>16</v>
      </c>
      <c r="D122" s="30" t="s">
        <v>16</v>
      </c>
      <c r="E122" s="30" t="s">
        <v>758</v>
      </c>
      <c r="F122" s="31" t="s">
        <v>16</v>
      </c>
    </row>
    <row r="123">
      <c r="A123" s="29">
        <v>713</v>
      </c>
      <c r="B123" s="30" t="s">
        <v>244</v>
      </c>
      <c r="C123" s="30" t="s">
        <v>759</v>
      </c>
      <c r="D123" s="30" t="s">
        <v>16</v>
      </c>
      <c r="E123" s="30" t="s">
        <v>16</v>
      </c>
      <c r="F123" s="31" t="s">
        <v>16</v>
      </c>
    </row>
    <row r="124" ht="72.599999999999994">
      <c r="A124" s="29">
        <v>717</v>
      </c>
      <c r="B124" s="30" t="s">
        <v>247</v>
      </c>
      <c r="C124" s="30" t="s">
        <v>760</v>
      </c>
      <c r="D124" s="30" t="s">
        <v>761</v>
      </c>
      <c r="E124" s="30" t="s">
        <v>16</v>
      </c>
      <c r="F124" s="31" t="s">
        <v>762</v>
      </c>
    </row>
    <row r="125" ht="29.100000000000001">
      <c r="A125" s="29">
        <v>723</v>
      </c>
      <c r="B125" s="30" t="s">
        <v>248</v>
      </c>
      <c r="C125" s="30" t="s">
        <v>763</v>
      </c>
      <c r="D125" s="30" t="s">
        <v>16</v>
      </c>
      <c r="E125" s="30" t="s">
        <v>764</v>
      </c>
      <c r="F125" s="31" t="s">
        <v>16</v>
      </c>
    </row>
    <row r="126">
      <c r="A126" s="29">
        <v>737</v>
      </c>
      <c r="B126" s="30" t="s">
        <v>251</v>
      </c>
      <c r="C126" s="30" t="s">
        <v>16</v>
      </c>
      <c r="D126" s="30" t="s">
        <v>16</v>
      </c>
      <c r="E126" s="30" t="s">
        <v>16</v>
      </c>
      <c r="F126" s="31" t="s">
        <v>16</v>
      </c>
    </row>
    <row r="127" ht="43.5">
      <c r="A127" s="29">
        <v>739</v>
      </c>
      <c r="B127" s="30" t="s">
        <v>252</v>
      </c>
      <c r="C127" s="30" t="s">
        <v>16</v>
      </c>
      <c r="D127" s="30" t="s">
        <v>16</v>
      </c>
      <c r="E127" s="30" t="s">
        <v>765</v>
      </c>
      <c r="F127" s="31" t="s">
        <v>766</v>
      </c>
    </row>
    <row r="128">
      <c r="A128" s="29">
        <v>744</v>
      </c>
      <c r="B128" s="30" t="s">
        <v>255</v>
      </c>
      <c r="C128" s="30" t="s">
        <v>16</v>
      </c>
      <c r="D128" s="30" t="s">
        <v>16</v>
      </c>
      <c r="E128" s="30" t="s">
        <v>767</v>
      </c>
      <c r="F128" s="31" t="s">
        <v>768</v>
      </c>
    </row>
    <row r="129" ht="28.5">
      <c r="A129" s="29">
        <v>747</v>
      </c>
      <c r="B129" s="30" t="s">
        <v>258</v>
      </c>
      <c r="C129" s="30" t="s">
        <v>16</v>
      </c>
      <c r="D129" s="30" t="s">
        <v>16</v>
      </c>
      <c r="E129" s="30" t="s">
        <v>769</v>
      </c>
      <c r="F129" s="31" t="s">
        <v>16</v>
      </c>
    </row>
    <row r="130" ht="28.5">
      <c r="A130" s="29">
        <v>749</v>
      </c>
      <c r="B130" s="30" t="s">
        <v>261</v>
      </c>
      <c r="C130" s="30" t="s">
        <v>16</v>
      </c>
      <c r="D130" s="30" t="s">
        <v>16</v>
      </c>
      <c r="E130" s="30" t="s">
        <v>770</v>
      </c>
      <c r="F130" s="31" t="s">
        <v>16</v>
      </c>
    </row>
    <row r="131" ht="28.5">
      <c r="A131" s="29">
        <v>750</v>
      </c>
      <c r="B131" s="30" t="s">
        <v>264</v>
      </c>
      <c r="C131" s="30" t="s">
        <v>16</v>
      </c>
      <c r="D131" s="30" t="s">
        <v>16</v>
      </c>
      <c r="E131" s="30" t="s">
        <v>16</v>
      </c>
      <c r="F131" s="31" t="s">
        <v>16</v>
      </c>
    </row>
    <row r="132" ht="28.5">
      <c r="A132" s="29">
        <v>754</v>
      </c>
      <c r="B132" s="30" t="s">
        <v>265</v>
      </c>
      <c r="C132" s="30" t="s">
        <v>771</v>
      </c>
      <c r="D132" s="30" t="s">
        <v>16</v>
      </c>
      <c r="E132" s="30" t="s">
        <v>772</v>
      </c>
      <c r="F132" s="31" t="s">
        <v>16</v>
      </c>
    </row>
    <row r="133" ht="42.75">
      <c r="A133" s="29">
        <v>757</v>
      </c>
      <c r="B133" s="30" t="s">
        <v>267</v>
      </c>
      <c r="C133" s="30" t="s">
        <v>16</v>
      </c>
      <c r="D133" s="30" t="s">
        <v>773</v>
      </c>
      <c r="E133" s="30" t="s">
        <v>774</v>
      </c>
      <c r="F133" s="31" t="s">
        <v>775</v>
      </c>
    </row>
    <row r="134" ht="42.75">
      <c r="A134" s="29">
        <v>766</v>
      </c>
      <c r="B134" s="30" t="s">
        <v>268</v>
      </c>
      <c r="C134" s="30" t="s">
        <v>16</v>
      </c>
      <c r="D134" s="30" t="s">
        <v>16</v>
      </c>
      <c r="E134" s="30" t="s">
        <v>16</v>
      </c>
      <c r="F134" s="31" t="s">
        <v>776</v>
      </c>
    </row>
    <row r="135" ht="28.5">
      <c r="A135" s="29">
        <v>768</v>
      </c>
      <c r="B135" s="30" t="s">
        <v>269</v>
      </c>
      <c r="C135" s="30" t="s">
        <v>16</v>
      </c>
      <c r="D135" s="30" t="s">
        <v>16</v>
      </c>
      <c r="E135" s="30" t="s">
        <v>16</v>
      </c>
      <c r="F135" s="31" t="s">
        <v>16</v>
      </c>
    </row>
    <row r="136" ht="28.5">
      <c r="A136" s="29">
        <v>788</v>
      </c>
      <c r="B136" s="30" t="s">
        <v>272</v>
      </c>
      <c r="C136" s="30" t="s">
        <v>777</v>
      </c>
      <c r="D136" s="30" t="s">
        <v>16</v>
      </c>
      <c r="E136" s="30" t="s">
        <v>16</v>
      </c>
      <c r="F136" s="31" t="s">
        <v>16</v>
      </c>
    </row>
    <row r="137" ht="28.5">
      <c r="A137" s="29">
        <v>798</v>
      </c>
      <c r="B137" s="30" t="s">
        <v>275</v>
      </c>
      <c r="C137" s="30" t="s">
        <v>16</v>
      </c>
      <c r="D137" s="30" t="s">
        <v>16</v>
      </c>
      <c r="E137" s="30" t="s">
        <v>16</v>
      </c>
      <c r="F137" s="31" t="s">
        <v>16</v>
      </c>
    </row>
    <row r="138">
      <c r="A138" s="29">
        <v>799</v>
      </c>
      <c r="B138" s="30" t="s">
        <v>276</v>
      </c>
      <c r="C138" s="30" t="s">
        <v>16</v>
      </c>
      <c r="D138" s="30" t="s">
        <v>16</v>
      </c>
      <c r="E138" s="30" t="s">
        <v>16</v>
      </c>
      <c r="F138" s="31" t="s">
        <v>16</v>
      </c>
    </row>
    <row r="139" ht="42.75">
      <c r="A139" s="29">
        <v>807</v>
      </c>
      <c r="B139" s="30" t="s">
        <v>277</v>
      </c>
      <c r="C139" s="30" t="s">
        <v>16</v>
      </c>
      <c r="D139" s="30" t="s">
        <v>778</v>
      </c>
      <c r="E139" s="30" t="s">
        <v>16</v>
      </c>
      <c r="F139" s="31" t="s">
        <v>16</v>
      </c>
    </row>
    <row r="140" ht="85.5">
      <c r="A140" s="29">
        <v>814</v>
      </c>
      <c r="B140" s="30" t="s">
        <v>278</v>
      </c>
      <c r="C140" s="30" t="s">
        <v>779</v>
      </c>
      <c r="D140" s="30" t="s">
        <v>780</v>
      </c>
      <c r="E140" s="30" t="s">
        <v>16</v>
      </c>
      <c r="F140" s="31" t="s">
        <v>16</v>
      </c>
    </row>
    <row r="141" ht="57">
      <c r="A141" s="29">
        <v>816</v>
      </c>
      <c r="B141" s="30" t="s">
        <v>280</v>
      </c>
      <c r="C141" s="30" t="s">
        <v>16</v>
      </c>
      <c r="D141" s="30" t="s">
        <v>16</v>
      </c>
      <c r="E141" s="30" t="s">
        <v>16</v>
      </c>
      <c r="F141" s="31" t="s">
        <v>781</v>
      </c>
    </row>
    <row r="142" ht="28.5">
      <c r="A142" s="29">
        <v>827</v>
      </c>
      <c r="B142" s="30" t="s">
        <v>281</v>
      </c>
      <c r="C142" s="30" t="s">
        <v>782</v>
      </c>
      <c r="D142" s="30" t="s">
        <v>16</v>
      </c>
      <c r="E142" s="30" t="s">
        <v>16</v>
      </c>
      <c r="F142" s="31" t="s">
        <v>16</v>
      </c>
    </row>
    <row r="143" ht="85.5">
      <c r="A143" s="29">
        <v>828</v>
      </c>
      <c r="B143" s="30" t="s">
        <v>285</v>
      </c>
      <c r="C143" s="30" t="s">
        <v>16</v>
      </c>
      <c r="D143" s="30" t="s">
        <v>16</v>
      </c>
      <c r="E143" s="30" t="s">
        <v>783</v>
      </c>
      <c r="F143" s="31" t="s">
        <v>16</v>
      </c>
    </row>
    <row r="144">
      <c r="A144" s="29">
        <v>830</v>
      </c>
      <c r="B144" s="30" t="s">
        <v>287</v>
      </c>
      <c r="C144" s="30" t="s">
        <v>16</v>
      </c>
      <c r="D144" s="30" t="s">
        <v>16</v>
      </c>
      <c r="E144" s="30" t="s">
        <v>16</v>
      </c>
      <c r="F144" s="31" t="s">
        <v>16</v>
      </c>
    </row>
    <row r="145" ht="85.5">
      <c r="A145" s="29">
        <v>832</v>
      </c>
      <c r="B145" s="30" t="s">
        <v>288</v>
      </c>
      <c r="C145" s="30" t="s">
        <v>784</v>
      </c>
      <c r="D145" s="30" t="s">
        <v>785</v>
      </c>
      <c r="E145" s="30" t="s">
        <v>16</v>
      </c>
      <c r="F145" s="31" t="s">
        <v>16</v>
      </c>
    </row>
    <row r="146">
      <c r="A146" s="29">
        <v>835</v>
      </c>
      <c r="B146" s="30" t="s">
        <v>292</v>
      </c>
      <c r="C146" s="30" t="s">
        <v>16</v>
      </c>
      <c r="D146" s="30" t="s">
        <v>16</v>
      </c>
      <c r="E146" s="30" t="s">
        <v>16</v>
      </c>
      <c r="F146" s="31" t="s">
        <v>786</v>
      </c>
    </row>
    <row r="147">
      <c r="A147" s="29">
        <v>837</v>
      </c>
      <c r="B147" s="30" t="s">
        <v>293</v>
      </c>
      <c r="C147" s="30" t="s">
        <v>787</v>
      </c>
      <c r="D147" s="30" t="s">
        <v>16</v>
      </c>
      <c r="E147" s="30" t="s">
        <v>16</v>
      </c>
      <c r="F147" s="31" t="s">
        <v>16</v>
      </c>
    </row>
    <row r="148" ht="42.75">
      <c r="A148" s="29">
        <v>847</v>
      </c>
      <c r="B148" s="30" t="s">
        <v>295</v>
      </c>
      <c r="C148" s="30" t="s">
        <v>16</v>
      </c>
      <c r="D148" s="30" t="s">
        <v>16</v>
      </c>
      <c r="E148" s="30" t="s">
        <v>16</v>
      </c>
      <c r="F148" s="31" t="s">
        <v>788</v>
      </c>
    </row>
    <row r="149" ht="28.5">
      <c r="A149" s="29">
        <v>851</v>
      </c>
      <c r="B149" s="30" t="s">
        <v>296</v>
      </c>
      <c r="C149" s="30" t="s">
        <v>16</v>
      </c>
      <c r="D149" s="30" t="s">
        <v>16</v>
      </c>
      <c r="E149" s="30" t="s">
        <v>16</v>
      </c>
      <c r="F149" s="31" t="s">
        <v>16</v>
      </c>
    </row>
    <row r="150">
      <c r="A150" s="29">
        <v>858</v>
      </c>
      <c r="B150" s="30" t="s">
        <v>298</v>
      </c>
      <c r="C150" s="30" t="s">
        <v>16</v>
      </c>
      <c r="D150" s="30" t="s">
        <v>16</v>
      </c>
      <c r="E150" s="30" t="s">
        <v>16</v>
      </c>
      <c r="F150" s="31" t="s">
        <v>16</v>
      </c>
    </row>
    <row r="151" ht="71.25">
      <c r="A151" s="29">
        <v>862</v>
      </c>
      <c r="B151" s="30" t="s">
        <v>299</v>
      </c>
      <c r="C151" s="30" t="s">
        <v>16</v>
      </c>
      <c r="D151" s="30" t="s">
        <v>16</v>
      </c>
      <c r="E151" s="30" t="s">
        <v>789</v>
      </c>
      <c r="F151" s="31" t="s">
        <v>16</v>
      </c>
    </row>
    <row r="152" ht="57">
      <c r="A152" s="29">
        <v>878</v>
      </c>
      <c r="B152" s="30" t="s">
        <v>300</v>
      </c>
      <c r="C152" s="30" t="s">
        <v>790</v>
      </c>
      <c r="D152" s="30" t="s">
        <v>16</v>
      </c>
      <c r="E152" s="30" t="s">
        <v>16</v>
      </c>
      <c r="F152" s="31" t="s">
        <v>16</v>
      </c>
    </row>
    <row r="153">
      <c r="A153" s="29">
        <v>883</v>
      </c>
      <c r="B153" s="30" t="s">
        <v>301</v>
      </c>
      <c r="C153" s="30" t="s">
        <v>16</v>
      </c>
      <c r="D153" s="30" t="s">
        <v>16</v>
      </c>
      <c r="E153" s="30" t="s">
        <v>16</v>
      </c>
      <c r="F153" s="31" t="s">
        <v>16</v>
      </c>
    </row>
    <row r="154">
      <c r="A154" s="29">
        <v>884</v>
      </c>
      <c r="B154" s="30" t="s">
        <v>303</v>
      </c>
      <c r="C154" s="30" t="s">
        <v>16</v>
      </c>
      <c r="D154" s="30" t="s">
        <v>16</v>
      </c>
      <c r="E154" s="30" t="s">
        <v>16</v>
      </c>
      <c r="F154" s="31" t="s">
        <v>16</v>
      </c>
    </row>
    <row r="155">
      <c r="A155" s="29">
        <v>886</v>
      </c>
      <c r="B155" s="30" t="s">
        <v>304</v>
      </c>
      <c r="C155" s="30" t="s">
        <v>16</v>
      </c>
      <c r="D155" s="30" t="s">
        <v>16</v>
      </c>
      <c r="E155" s="30" t="s">
        <v>16</v>
      </c>
      <c r="F155" s="31" t="s">
        <v>16</v>
      </c>
    </row>
    <row r="156">
      <c r="A156" s="29">
        <v>892</v>
      </c>
      <c r="B156" s="30" t="s">
        <v>305</v>
      </c>
      <c r="C156" s="30" t="s">
        <v>16</v>
      </c>
      <c r="D156" s="30" t="s">
        <v>16</v>
      </c>
      <c r="E156" s="30" t="s">
        <v>16</v>
      </c>
      <c r="F156" s="31" t="s">
        <v>16</v>
      </c>
    </row>
    <row r="157">
      <c r="A157" s="29">
        <v>893</v>
      </c>
      <c r="B157" s="30" t="s">
        <v>307</v>
      </c>
      <c r="C157" s="30" t="s">
        <v>787</v>
      </c>
      <c r="D157" s="30" t="s">
        <v>16</v>
      </c>
      <c r="E157" s="30" t="s">
        <v>16</v>
      </c>
      <c r="F157" s="31" t="s">
        <v>16</v>
      </c>
    </row>
    <row r="158" ht="42.75">
      <c r="A158" s="29">
        <v>898</v>
      </c>
      <c r="B158" s="30" t="s">
        <v>309</v>
      </c>
      <c r="C158" s="30" t="s">
        <v>787</v>
      </c>
      <c r="D158" s="30" t="s">
        <v>16</v>
      </c>
      <c r="E158" s="30" t="s">
        <v>16</v>
      </c>
      <c r="F158" s="31" t="s">
        <v>791</v>
      </c>
    </row>
    <row r="159" ht="85.5">
      <c r="A159" s="29">
        <v>905</v>
      </c>
      <c r="B159" s="30" t="s">
        <v>311</v>
      </c>
      <c r="C159" s="30" t="s">
        <v>16</v>
      </c>
      <c r="D159" s="30" t="s">
        <v>792</v>
      </c>
      <c r="E159" s="30" t="s">
        <v>16</v>
      </c>
      <c r="F159" s="31" t="s">
        <v>793</v>
      </c>
    </row>
    <row r="160">
      <c r="A160" s="29">
        <v>907</v>
      </c>
      <c r="B160" s="30" t="s">
        <v>313</v>
      </c>
      <c r="C160" s="30" t="s">
        <v>16</v>
      </c>
      <c r="D160" s="30" t="s">
        <v>16</v>
      </c>
      <c r="E160" s="30" t="s">
        <v>16</v>
      </c>
      <c r="F160" s="31" t="s">
        <v>16</v>
      </c>
    </row>
    <row r="161">
      <c r="A161" s="29">
        <v>921</v>
      </c>
      <c r="B161" s="30" t="s">
        <v>314</v>
      </c>
      <c r="C161" s="30" t="s">
        <v>16</v>
      </c>
      <c r="D161" s="30" t="s">
        <v>16</v>
      </c>
      <c r="E161" s="30" t="s">
        <v>16</v>
      </c>
      <c r="F161" s="31" t="s">
        <v>16</v>
      </c>
    </row>
    <row r="162">
      <c r="A162" s="29">
        <v>931</v>
      </c>
      <c r="B162" s="30" t="s">
        <v>316</v>
      </c>
      <c r="C162" s="30" t="s">
        <v>16</v>
      </c>
      <c r="D162" s="30" t="s">
        <v>16</v>
      </c>
      <c r="E162" s="30" t="s">
        <v>16</v>
      </c>
      <c r="F162" s="31" t="s">
        <v>16</v>
      </c>
    </row>
    <row r="163" ht="42.75">
      <c r="A163" s="29">
        <v>937</v>
      </c>
      <c r="B163" s="30" t="s">
        <v>317</v>
      </c>
      <c r="C163" s="30" t="s">
        <v>16</v>
      </c>
      <c r="D163" s="30" t="s">
        <v>16</v>
      </c>
      <c r="E163" s="30" t="s">
        <v>16</v>
      </c>
      <c r="F163" s="31" t="s">
        <v>794</v>
      </c>
    </row>
    <row r="164">
      <c r="A164" s="29">
        <v>944</v>
      </c>
      <c r="B164" s="30" t="s">
        <v>318</v>
      </c>
      <c r="C164" s="30" t="s">
        <v>16</v>
      </c>
      <c r="D164" s="30" t="s">
        <v>16</v>
      </c>
      <c r="E164" s="30" t="s">
        <v>16</v>
      </c>
      <c r="F164" s="31" t="s">
        <v>16</v>
      </c>
    </row>
    <row r="165" ht="28.5">
      <c r="A165" s="29">
        <v>954</v>
      </c>
      <c r="B165" s="30" t="s">
        <v>319</v>
      </c>
      <c r="C165" s="30" t="s">
        <v>16</v>
      </c>
      <c r="D165" s="30" t="s">
        <v>16</v>
      </c>
      <c r="E165" s="30" t="s">
        <v>16</v>
      </c>
      <c r="F165" s="31" t="s">
        <v>795</v>
      </c>
    </row>
    <row r="166" ht="42.75">
      <c r="A166" s="29">
        <v>960</v>
      </c>
      <c r="B166" s="30" t="s">
        <v>320</v>
      </c>
      <c r="C166" s="30" t="s">
        <v>16</v>
      </c>
      <c r="D166" s="30" t="s">
        <v>16</v>
      </c>
      <c r="E166" s="30" t="s">
        <v>796</v>
      </c>
      <c r="F166" s="31" t="s">
        <v>16</v>
      </c>
    </row>
    <row r="167" ht="28.5">
      <c r="A167" s="29">
        <v>962</v>
      </c>
      <c r="B167" s="30" t="s">
        <v>321</v>
      </c>
      <c r="C167" s="30" t="s">
        <v>16</v>
      </c>
      <c r="D167" s="30" t="s">
        <v>16</v>
      </c>
      <c r="E167" s="30" t="s">
        <v>16</v>
      </c>
      <c r="F167" s="31" t="s">
        <v>797</v>
      </c>
    </row>
    <row r="168" ht="42.75">
      <c r="A168" s="29">
        <v>968</v>
      </c>
      <c r="B168" s="30" t="s">
        <v>322</v>
      </c>
      <c r="C168" s="30" t="s">
        <v>16</v>
      </c>
      <c r="D168" s="30" t="s">
        <v>16</v>
      </c>
      <c r="E168" s="30" t="s">
        <v>798</v>
      </c>
      <c r="F168" s="31" t="s">
        <v>16</v>
      </c>
    </row>
    <row r="169">
      <c r="A169" s="29">
        <v>969</v>
      </c>
      <c r="B169" s="30" t="s">
        <v>323</v>
      </c>
      <c r="C169" s="30" t="s">
        <v>16</v>
      </c>
      <c r="D169" s="30" t="s">
        <v>16</v>
      </c>
      <c r="E169" s="30" t="s">
        <v>16</v>
      </c>
      <c r="F169" s="31" t="s">
        <v>16</v>
      </c>
    </row>
    <row r="170">
      <c r="A170" s="29">
        <v>1002</v>
      </c>
      <c r="B170" s="30" t="s">
        <v>325</v>
      </c>
      <c r="C170" s="30" t="s">
        <v>16</v>
      </c>
      <c r="D170" s="30" t="s">
        <v>16</v>
      </c>
      <c r="E170" s="30" t="s">
        <v>16</v>
      </c>
      <c r="F170" s="31" t="s">
        <v>16</v>
      </c>
    </row>
    <row r="171" ht="57">
      <c r="A171" s="29">
        <v>1004</v>
      </c>
      <c r="B171" s="30" t="s">
        <v>326</v>
      </c>
      <c r="C171" s="30" t="s">
        <v>799</v>
      </c>
      <c r="D171" s="30" t="s">
        <v>16</v>
      </c>
      <c r="E171" s="30" t="s">
        <v>16</v>
      </c>
      <c r="F171" s="31" t="s">
        <v>800</v>
      </c>
    </row>
    <row r="172" ht="42.75">
      <c r="A172" s="29">
        <v>1006</v>
      </c>
      <c r="B172" s="30" t="s">
        <v>329</v>
      </c>
      <c r="C172" s="30" t="s">
        <v>16</v>
      </c>
      <c r="D172" s="30" t="s">
        <v>16</v>
      </c>
      <c r="E172" s="30" t="s">
        <v>16</v>
      </c>
      <c r="F172" s="31" t="s">
        <v>801</v>
      </c>
    </row>
    <row r="173" ht="28.5">
      <c r="A173" s="29">
        <v>1025</v>
      </c>
      <c r="B173" s="30" t="s">
        <v>330</v>
      </c>
      <c r="C173" s="30" t="s">
        <v>16</v>
      </c>
      <c r="D173" s="30" t="s">
        <v>16</v>
      </c>
      <c r="E173" s="30" t="s">
        <v>802</v>
      </c>
      <c r="F173" s="31" t="s">
        <v>16</v>
      </c>
    </row>
    <row r="174" ht="71.25">
      <c r="A174" s="29">
        <v>1033</v>
      </c>
      <c r="B174" s="30" t="s">
        <v>332</v>
      </c>
      <c r="C174" s="30" t="s">
        <v>803</v>
      </c>
      <c r="D174" s="30" t="s">
        <v>16</v>
      </c>
      <c r="E174" s="30" t="s">
        <v>16</v>
      </c>
      <c r="F174" s="31" t="s">
        <v>16</v>
      </c>
    </row>
    <row r="175" ht="28.5">
      <c r="A175" s="29">
        <v>1042</v>
      </c>
      <c r="B175" s="30" t="s">
        <v>336</v>
      </c>
      <c r="C175" s="30" t="s">
        <v>16</v>
      </c>
      <c r="D175" s="30" t="s">
        <v>16</v>
      </c>
      <c r="E175" s="30" t="s">
        <v>16</v>
      </c>
      <c r="F175" s="31" t="s">
        <v>804</v>
      </c>
    </row>
    <row r="176">
      <c r="A176" s="29">
        <v>1053</v>
      </c>
      <c r="B176" s="30" t="s">
        <v>337</v>
      </c>
      <c r="C176" s="30" t="s">
        <v>16</v>
      </c>
      <c r="D176" s="30" t="s">
        <v>16</v>
      </c>
      <c r="E176" s="30" t="s">
        <v>16</v>
      </c>
      <c r="F176" s="31" t="s">
        <v>16</v>
      </c>
    </row>
    <row r="177" ht="57">
      <c r="A177" s="29">
        <v>1063</v>
      </c>
      <c r="B177" s="30" t="s">
        <v>338</v>
      </c>
      <c r="C177" s="30" t="s">
        <v>16</v>
      </c>
      <c r="D177" s="30" t="s">
        <v>805</v>
      </c>
      <c r="E177" s="30" t="s">
        <v>16</v>
      </c>
      <c r="F177" s="31" t="s">
        <v>16</v>
      </c>
    </row>
    <row r="178">
      <c r="A178" s="29">
        <v>1064</v>
      </c>
      <c r="B178" s="30" t="s">
        <v>339</v>
      </c>
      <c r="C178" s="30" t="s">
        <v>16</v>
      </c>
      <c r="D178" s="30" t="s">
        <v>16</v>
      </c>
      <c r="E178" s="30" t="s">
        <v>16</v>
      </c>
      <c r="F178" s="31" t="s">
        <v>16</v>
      </c>
    </row>
    <row r="179" ht="42.75">
      <c r="A179" s="29">
        <v>1073</v>
      </c>
      <c r="B179" s="30" t="s">
        <v>340</v>
      </c>
      <c r="C179" s="30" t="s">
        <v>16</v>
      </c>
      <c r="D179" s="30" t="s">
        <v>16</v>
      </c>
      <c r="E179" s="30" t="s">
        <v>806</v>
      </c>
      <c r="F179" s="31" t="s">
        <v>16</v>
      </c>
    </row>
    <row r="180" ht="42.75">
      <c r="A180" s="29">
        <v>1076</v>
      </c>
      <c r="B180" s="30" t="s">
        <v>341</v>
      </c>
      <c r="C180" s="30" t="s">
        <v>16</v>
      </c>
      <c r="D180" s="30" t="s">
        <v>16</v>
      </c>
      <c r="E180" s="30" t="s">
        <v>16</v>
      </c>
      <c r="F180" s="31" t="s">
        <v>807</v>
      </c>
    </row>
    <row r="181">
      <c r="A181" s="29">
        <v>1182</v>
      </c>
      <c r="B181" s="30" t="s">
        <v>342</v>
      </c>
      <c r="C181" s="30" t="s">
        <v>16</v>
      </c>
      <c r="D181" s="30" t="s">
        <v>16</v>
      </c>
      <c r="E181" s="30" t="s">
        <v>16</v>
      </c>
      <c r="F181" s="31" t="s">
        <v>16</v>
      </c>
    </row>
    <row r="182" ht="85.5">
      <c r="A182" s="29">
        <v>1184</v>
      </c>
      <c r="B182" s="30" t="s">
        <v>343</v>
      </c>
      <c r="C182" s="30" t="s">
        <v>16</v>
      </c>
      <c r="D182" s="30" t="s">
        <v>808</v>
      </c>
      <c r="E182" s="30" t="s">
        <v>809</v>
      </c>
      <c r="F182" s="31" t="s">
        <v>16</v>
      </c>
    </row>
    <row r="183" ht="28.5">
      <c r="A183" s="29">
        <v>1186</v>
      </c>
      <c r="B183" s="30" t="s">
        <v>344</v>
      </c>
      <c r="C183" s="30" t="s">
        <v>16</v>
      </c>
      <c r="D183" s="30" t="s">
        <v>16</v>
      </c>
      <c r="E183" s="30" t="s">
        <v>810</v>
      </c>
      <c r="F183" s="31" t="s">
        <v>16</v>
      </c>
    </row>
    <row r="184">
      <c r="A184" s="29">
        <v>1187</v>
      </c>
      <c r="B184" s="30" t="s">
        <v>345</v>
      </c>
      <c r="C184" s="30" t="s">
        <v>16</v>
      </c>
      <c r="D184" s="30" t="s">
        <v>16</v>
      </c>
      <c r="E184" s="30" t="s">
        <v>16</v>
      </c>
      <c r="F184" s="31" t="s">
        <v>16</v>
      </c>
    </row>
    <row r="185" ht="28.5">
      <c r="A185" s="29">
        <v>1190</v>
      </c>
      <c r="B185" s="30" t="s">
        <v>346</v>
      </c>
      <c r="C185" s="30" t="s">
        <v>16</v>
      </c>
      <c r="D185" s="30" t="s">
        <v>16</v>
      </c>
      <c r="E185" s="30" t="s">
        <v>811</v>
      </c>
      <c r="F185" s="31" t="s">
        <v>16</v>
      </c>
    </row>
    <row r="186">
      <c r="A186" s="29">
        <v>1193</v>
      </c>
      <c r="B186" s="30" t="s">
        <v>347</v>
      </c>
      <c r="C186" s="30" t="s">
        <v>812</v>
      </c>
      <c r="D186" s="30" t="s">
        <v>16</v>
      </c>
      <c r="E186" s="30" t="s">
        <v>16</v>
      </c>
      <c r="F186" s="31" t="s">
        <v>16</v>
      </c>
    </row>
    <row r="187">
      <c r="A187" s="29">
        <v>1200</v>
      </c>
      <c r="B187" s="30" t="s">
        <v>348</v>
      </c>
      <c r="C187" s="30" t="s">
        <v>16</v>
      </c>
      <c r="D187" s="30" t="s">
        <v>16</v>
      </c>
      <c r="E187" s="30" t="s">
        <v>16</v>
      </c>
      <c r="F187" s="31" t="s">
        <v>16</v>
      </c>
    </row>
    <row r="188">
      <c r="A188" s="29">
        <v>1205</v>
      </c>
      <c r="B188" s="30" t="s">
        <v>349</v>
      </c>
      <c r="C188" s="30" t="s">
        <v>16</v>
      </c>
      <c r="D188" s="30" t="s">
        <v>16</v>
      </c>
      <c r="E188" s="30" t="s">
        <v>16</v>
      </c>
      <c r="F188" s="31" t="s">
        <v>813</v>
      </c>
    </row>
    <row r="189">
      <c r="A189" s="29">
        <v>1206</v>
      </c>
      <c r="B189" s="30" t="s">
        <v>350</v>
      </c>
      <c r="C189" s="30" t="s">
        <v>787</v>
      </c>
      <c r="D189" s="30" t="s">
        <v>16</v>
      </c>
      <c r="E189" s="30" t="s">
        <v>16</v>
      </c>
      <c r="F189" s="31" t="s">
        <v>16</v>
      </c>
    </row>
    <row r="190" ht="28.5">
      <c r="A190" s="29">
        <v>1213</v>
      </c>
      <c r="B190" s="30" t="s">
        <v>352</v>
      </c>
      <c r="C190" s="30" t="s">
        <v>645</v>
      </c>
      <c r="D190" s="30" t="s">
        <v>16</v>
      </c>
      <c r="E190" s="30" t="s">
        <v>16</v>
      </c>
      <c r="F190" s="31" t="s">
        <v>814</v>
      </c>
    </row>
    <row r="191" ht="42.75">
      <c r="A191" s="29">
        <v>1226</v>
      </c>
      <c r="B191" s="30" t="s">
        <v>354</v>
      </c>
      <c r="C191" s="30" t="s">
        <v>16</v>
      </c>
      <c r="D191" s="30" t="s">
        <v>815</v>
      </c>
      <c r="E191" s="30" t="s">
        <v>16</v>
      </c>
      <c r="F191" s="31" t="s">
        <v>816</v>
      </c>
    </row>
    <row r="192" ht="28.5">
      <c r="A192" s="29">
        <v>1232</v>
      </c>
      <c r="B192" s="30" t="s">
        <v>355</v>
      </c>
      <c r="C192" s="30" t="s">
        <v>16</v>
      </c>
      <c r="D192" s="30" t="s">
        <v>16</v>
      </c>
      <c r="E192" s="30" t="s">
        <v>16</v>
      </c>
      <c r="F192" s="31" t="s">
        <v>817</v>
      </c>
    </row>
    <row r="193" ht="72.599999999999994">
      <c r="A193" s="29">
        <v>1235</v>
      </c>
      <c r="B193" s="30" t="s">
        <v>357</v>
      </c>
      <c r="C193" s="30" t="s">
        <v>16</v>
      </c>
      <c r="D193" s="30" t="s">
        <v>16</v>
      </c>
      <c r="E193" s="30" t="s">
        <v>818</v>
      </c>
      <c r="F193" s="31" t="s">
        <v>16</v>
      </c>
    </row>
    <row r="194" ht="29.100000000000001">
      <c r="A194" s="29">
        <v>1247</v>
      </c>
      <c r="B194" s="30" t="s">
        <v>359</v>
      </c>
      <c r="C194" s="30" t="s">
        <v>16</v>
      </c>
      <c r="D194" s="30" t="s">
        <v>16</v>
      </c>
      <c r="E194" s="30" t="s">
        <v>16</v>
      </c>
      <c r="F194" s="31" t="s">
        <v>16</v>
      </c>
    </row>
    <row r="195" ht="29.100000000000001">
      <c r="A195" s="29">
        <v>1248</v>
      </c>
      <c r="B195" s="30" t="s">
        <v>360</v>
      </c>
      <c r="C195" s="30" t="s">
        <v>819</v>
      </c>
      <c r="D195" s="30" t="s">
        <v>16</v>
      </c>
      <c r="E195" s="30" t="s">
        <v>16</v>
      </c>
      <c r="F195" s="31" t="s">
        <v>820</v>
      </c>
    </row>
    <row r="196" ht="43.5">
      <c r="A196" s="29">
        <v>1256</v>
      </c>
      <c r="B196" s="30" t="s">
        <v>362</v>
      </c>
      <c r="C196" s="30" t="s">
        <v>16</v>
      </c>
      <c r="D196" s="30" t="s">
        <v>16</v>
      </c>
      <c r="E196" s="30" t="s">
        <v>16</v>
      </c>
      <c r="F196" s="31" t="s">
        <v>821</v>
      </c>
    </row>
    <row r="197">
      <c r="A197" s="29">
        <v>1258</v>
      </c>
      <c r="B197" s="30" t="s">
        <v>365</v>
      </c>
      <c r="C197" s="30" t="s">
        <v>16</v>
      </c>
      <c r="D197" s="30" t="s">
        <v>16</v>
      </c>
      <c r="E197" s="30" t="s">
        <v>16</v>
      </c>
      <c r="F197" s="31" t="s">
        <v>16</v>
      </c>
    </row>
    <row r="198" ht="29.100000000000001">
      <c r="A198" s="29">
        <v>1261</v>
      </c>
      <c r="B198" s="30" t="s">
        <v>366</v>
      </c>
      <c r="C198" s="30" t="s">
        <v>16</v>
      </c>
      <c r="D198" s="30" t="s">
        <v>16</v>
      </c>
      <c r="E198" s="30" t="s">
        <v>16</v>
      </c>
      <c r="F198" s="31" t="s">
        <v>16</v>
      </c>
    </row>
    <row r="199" ht="29.100000000000001">
      <c r="A199" s="29">
        <v>1270</v>
      </c>
      <c r="B199" s="30" t="s">
        <v>367</v>
      </c>
      <c r="C199" s="30" t="s">
        <v>822</v>
      </c>
      <c r="D199" s="30" t="s">
        <v>16</v>
      </c>
      <c r="E199" s="30" t="s">
        <v>823</v>
      </c>
      <c r="F199" s="31" t="s">
        <v>824</v>
      </c>
    </row>
    <row r="200" ht="29.100000000000001">
      <c r="A200" s="29">
        <v>1282</v>
      </c>
      <c r="B200" s="30" t="s">
        <v>369</v>
      </c>
      <c r="C200" s="30" t="s">
        <v>16</v>
      </c>
      <c r="D200" s="30" t="s">
        <v>825</v>
      </c>
      <c r="E200" s="30" t="s">
        <v>826</v>
      </c>
      <c r="F200" s="31" t="s">
        <v>16</v>
      </c>
    </row>
    <row r="201">
      <c r="A201" s="29">
        <v>1340</v>
      </c>
      <c r="B201" s="30" t="s">
        <v>371</v>
      </c>
      <c r="C201" s="30" t="s">
        <v>16</v>
      </c>
      <c r="D201" s="30" t="s">
        <v>16</v>
      </c>
      <c r="E201" s="30" t="s">
        <v>16</v>
      </c>
      <c r="F201" s="31" t="s">
        <v>16</v>
      </c>
    </row>
  </sheetData>
  <sortState ref="A2:F201">
    <sortCondition ref="A2:A201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Nieves Martinez -UPV</dc:creator>
  <cp:keywords/>
  <dc:description/>
  <cp:revision>1</cp:revision>
  <dcterms:created xsi:type="dcterms:W3CDTF">2015-06-05T18:19:34Z</dcterms:created>
  <dcterms:modified xsi:type="dcterms:W3CDTF">2026-09-08T13:24:37Z</dcterms:modified>
  <cp:category/>
  <cp:contentStatus/>
</cp:coreProperties>
</file>